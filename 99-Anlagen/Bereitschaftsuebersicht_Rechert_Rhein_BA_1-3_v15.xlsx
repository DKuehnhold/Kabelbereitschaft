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wustechnik.sharepoint.com/teams/Einsatzplaner-BereitschaftRechterRhein2/Freigegebene Dokumente/"/>
    </mc:Choice>
  </mc:AlternateContent>
  <xr:revisionPtr revIDLastSave="91" documentId="8_{63AAC10C-1B23-4D3A-AC03-C110EED64661}" xr6:coauthVersionLast="47" xr6:coauthVersionMax="47" xr10:uidLastSave="{8AD1C57F-3C2B-4665-AC8D-C416D28E837A}"/>
  <bookViews>
    <workbookView xWindow="-120" yWindow="-120" windowWidth="29040" windowHeight="15720" tabRatio="500" activeTab="1" xr2:uid="{00000000-000D-0000-FFFF-FFFF00000000}"/>
  </bookViews>
  <sheets>
    <sheet name="Einsatzplanung " sheetId="8" r:id="rId1"/>
    <sheet name="BA1" sheetId="1" r:id="rId2"/>
    <sheet name="BA2" sheetId="2" r:id="rId3"/>
    <sheet name="BA3" sheetId="3" r:id="rId4"/>
    <sheet name="Ansprechpartner" sheetId="4" r:id="rId5"/>
    <sheet name="Streckennummern" sheetId="5" r:id="rId6"/>
    <sheet name="Gewerke &amp; Kabeltypen" sheetId="6" r:id="rId7"/>
  </sheets>
  <definedNames>
    <definedName name="_xlnm._FilterDatabase" localSheetId="1" hidden="1">'BA1'!$A$4:$V$35</definedName>
    <definedName name="_xlnm._FilterDatabase" localSheetId="2" hidden="1">'BA2'!$A$4:$V$36</definedName>
    <definedName name="_xlnm._FilterDatabase" localSheetId="3" hidden="1">'BA3'!$A$4:$V$30</definedName>
    <definedName name="AP_Namen">Ansprechpartner!$E$4:$E$80</definedName>
    <definedName name="Gewerke_Liste">'Gewerke &amp; Kabeltypen'!$A$4:$A$150</definedName>
    <definedName name="Kabeltypen_Liste">'Gewerke &amp; Kabeltypen'!$C$4:$C$150</definedName>
    <definedName name="Strecken_BA1">Streckennummern!$A$5:$A$51</definedName>
    <definedName name="Strecken_BA2">Streckennummern!$C$5:$C$51</definedName>
    <definedName name="Strecken_BA3">Streckennummern!$E$5:$E$51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C20" i="1"/>
  <c r="C21" i="1"/>
  <c r="C22" i="1"/>
  <c r="C12" i="1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6" i="8"/>
  <c r="C32" i="8"/>
  <c r="C31" i="8"/>
  <c r="C30" i="8"/>
  <c r="C28" i="8"/>
  <c r="C27" i="8"/>
  <c r="C26" i="8"/>
  <c r="C24" i="8"/>
  <c r="C23" i="8"/>
  <c r="C22" i="8"/>
  <c r="C21" i="8"/>
  <c r="C20" i="8"/>
  <c r="C19" i="8"/>
  <c r="C18" i="8"/>
  <c r="C17" i="8"/>
  <c r="C16" i="8"/>
  <c r="C15" i="8"/>
  <c r="C14" i="8"/>
  <c r="C13" i="8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F21" i="3" s="1"/>
  <c r="E6" i="4"/>
  <c r="E5" i="4"/>
  <c r="E4" i="4"/>
  <c r="F22" i="3" s="1"/>
  <c r="G300" i="3"/>
  <c r="F300" i="3"/>
  <c r="C300" i="3"/>
  <c r="G299" i="3"/>
  <c r="F299" i="3"/>
  <c r="C299" i="3"/>
  <c r="G298" i="3"/>
  <c r="F298" i="3"/>
  <c r="C298" i="3"/>
  <c r="G297" i="3"/>
  <c r="F297" i="3"/>
  <c r="C297" i="3"/>
  <c r="G296" i="3"/>
  <c r="F296" i="3"/>
  <c r="C296" i="3"/>
  <c r="G295" i="3"/>
  <c r="F295" i="3"/>
  <c r="C295" i="3"/>
  <c r="G294" i="3"/>
  <c r="F294" i="3"/>
  <c r="C294" i="3"/>
  <c r="G293" i="3"/>
  <c r="F293" i="3"/>
  <c r="C293" i="3"/>
  <c r="G292" i="3"/>
  <c r="F292" i="3"/>
  <c r="C292" i="3"/>
  <c r="G291" i="3"/>
  <c r="F291" i="3"/>
  <c r="C291" i="3"/>
  <c r="G290" i="3"/>
  <c r="F290" i="3"/>
  <c r="C290" i="3"/>
  <c r="G289" i="3"/>
  <c r="F289" i="3"/>
  <c r="C289" i="3"/>
  <c r="G288" i="3"/>
  <c r="F288" i="3"/>
  <c r="C288" i="3"/>
  <c r="G287" i="3"/>
  <c r="F287" i="3"/>
  <c r="C287" i="3"/>
  <c r="G286" i="3"/>
  <c r="F286" i="3"/>
  <c r="C286" i="3"/>
  <c r="G285" i="3"/>
  <c r="F285" i="3"/>
  <c r="C285" i="3"/>
  <c r="G284" i="3"/>
  <c r="F284" i="3"/>
  <c r="C284" i="3"/>
  <c r="G283" i="3"/>
  <c r="F283" i="3"/>
  <c r="C283" i="3"/>
  <c r="G282" i="3"/>
  <c r="F282" i="3"/>
  <c r="C282" i="3"/>
  <c r="G281" i="3"/>
  <c r="F281" i="3"/>
  <c r="C281" i="3"/>
  <c r="G280" i="3"/>
  <c r="F280" i="3"/>
  <c r="C280" i="3"/>
  <c r="G279" i="3"/>
  <c r="F279" i="3"/>
  <c r="C279" i="3"/>
  <c r="G278" i="3"/>
  <c r="F278" i="3"/>
  <c r="C278" i="3"/>
  <c r="G277" i="3"/>
  <c r="F277" i="3"/>
  <c r="C277" i="3"/>
  <c r="G276" i="3"/>
  <c r="F276" i="3"/>
  <c r="C276" i="3"/>
  <c r="G275" i="3"/>
  <c r="F275" i="3"/>
  <c r="C275" i="3"/>
  <c r="G274" i="3"/>
  <c r="F274" i="3"/>
  <c r="C274" i="3"/>
  <c r="G273" i="3"/>
  <c r="F273" i="3"/>
  <c r="C273" i="3"/>
  <c r="G272" i="3"/>
  <c r="F272" i="3"/>
  <c r="C272" i="3"/>
  <c r="G271" i="3"/>
  <c r="F271" i="3"/>
  <c r="C271" i="3"/>
  <c r="G270" i="3"/>
  <c r="F270" i="3"/>
  <c r="C270" i="3"/>
  <c r="G269" i="3"/>
  <c r="F269" i="3"/>
  <c r="C269" i="3"/>
  <c r="G268" i="3"/>
  <c r="F268" i="3"/>
  <c r="C268" i="3"/>
  <c r="G267" i="3"/>
  <c r="F267" i="3"/>
  <c r="C267" i="3"/>
  <c r="G266" i="3"/>
  <c r="F266" i="3"/>
  <c r="C266" i="3"/>
  <c r="G265" i="3"/>
  <c r="F265" i="3"/>
  <c r="C265" i="3"/>
  <c r="G264" i="3"/>
  <c r="F264" i="3"/>
  <c r="C264" i="3"/>
  <c r="G263" i="3"/>
  <c r="F263" i="3"/>
  <c r="C263" i="3"/>
  <c r="G262" i="3"/>
  <c r="F262" i="3"/>
  <c r="C262" i="3"/>
  <c r="G261" i="3"/>
  <c r="F261" i="3"/>
  <c r="C261" i="3"/>
  <c r="G260" i="3"/>
  <c r="F260" i="3"/>
  <c r="C260" i="3"/>
  <c r="G259" i="3"/>
  <c r="F259" i="3"/>
  <c r="C259" i="3"/>
  <c r="G258" i="3"/>
  <c r="F258" i="3"/>
  <c r="C258" i="3"/>
  <c r="G257" i="3"/>
  <c r="F257" i="3"/>
  <c r="C257" i="3"/>
  <c r="G256" i="3"/>
  <c r="F256" i="3"/>
  <c r="C256" i="3"/>
  <c r="G255" i="3"/>
  <c r="F255" i="3"/>
  <c r="C255" i="3"/>
  <c r="G254" i="3"/>
  <c r="F254" i="3"/>
  <c r="C254" i="3"/>
  <c r="G253" i="3"/>
  <c r="F253" i="3"/>
  <c r="C253" i="3"/>
  <c r="G252" i="3"/>
  <c r="F252" i="3"/>
  <c r="C252" i="3"/>
  <c r="G251" i="3"/>
  <c r="F251" i="3"/>
  <c r="C251" i="3"/>
  <c r="G250" i="3"/>
  <c r="F250" i="3"/>
  <c r="C250" i="3"/>
  <c r="G249" i="3"/>
  <c r="F249" i="3"/>
  <c r="C249" i="3"/>
  <c r="G248" i="3"/>
  <c r="F248" i="3"/>
  <c r="C248" i="3"/>
  <c r="G247" i="3"/>
  <c r="F247" i="3"/>
  <c r="C247" i="3"/>
  <c r="G246" i="3"/>
  <c r="F246" i="3"/>
  <c r="C246" i="3"/>
  <c r="G245" i="3"/>
  <c r="F245" i="3"/>
  <c r="C245" i="3"/>
  <c r="G244" i="3"/>
  <c r="F244" i="3"/>
  <c r="C244" i="3"/>
  <c r="G243" i="3"/>
  <c r="F243" i="3"/>
  <c r="C243" i="3"/>
  <c r="G242" i="3"/>
  <c r="F242" i="3"/>
  <c r="C242" i="3"/>
  <c r="G241" i="3"/>
  <c r="F241" i="3"/>
  <c r="C241" i="3"/>
  <c r="G240" i="3"/>
  <c r="F240" i="3"/>
  <c r="C240" i="3"/>
  <c r="G239" i="3"/>
  <c r="F239" i="3"/>
  <c r="C239" i="3"/>
  <c r="G238" i="3"/>
  <c r="F238" i="3"/>
  <c r="C238" i="3"/>
  <c r="G237" i="3"/>
  <c r="F237" i="3"/>
  <c r="C237" i="3"/>
  <c r="G236" i="3"/>
  <c r="F236" i="3"/>
  <c r="C236" i="3"/>
  <c r="G235" i="3"/>
  <c r="F235" i="3"/>
  <c r="C235" i="3"/>
  <c r="G234" i="3"/>
  <c r="F234" i="3"/>
  <c r="C234" i="3"/>
  <c r="G233" i="3"/>
  <c r="F233" i="3"/>
  <c r="C233" i="3"/>
  <c r="G232" i="3"/>
  <c r="F232" i="3"/>
  <c r="C232" i="3"/>
  <c r="G231" i="3"/>
  <c r="F231" i="3"/>
  <c r="C231" i="3"/>
  <c r="G230" i="3"/>
  <c r="F230" i="3"/>
  <c r="C230" i="3"/>
  <c r="G229" i="3"/>
  <c r="F229" i="3"/>
  <c r="C229" i="3"/>
  <c r="G228" i="3"/>
  <c r="F228" i="3"/>
  <c r="C228" i="3"/>
  <c r="G227" i="3"/>
  <c r="F227" i="3"/>
  <c r="C227" i="3"/>
  <c r="G226" i="3"/>
  <c r="F226" i="3"/>
  <c r="C226" i="3"/>
  <c r="G225" i="3"/>
  <c r="F225" i="3"/>
  <c r="C225" i="3"/>
  <c r="G224" i="3"/>
  <c r="F224" i="3"/>
  <c r="C224" i="3"/>
  <c r="G223" i="3"/>
  <c r="F223" i="3"/>
  <c r="C223" i="3"/>
  <c r="G222" i="3"/>
  <c r="F222" i="3"/>
  <c r="C222" i="3"/>
  <c r="G221" i="3"/>
  <c r="F221" i="3"/>
  <c r="C221" i="3"/>
  <c r="G220" i="3"/>
  <c r="F220" i="3"/>
  <c r="C220" i="3"/>
  <c r="G219" i="3"/>
  <c r="F219" i="3"/>
  <c r="C219" i="3"/>
  <c r="G218" i="3"/>
  <c r="F218" i="3"/>
  <c r="C218" i="3"/>
  <c r="G217" i="3"/>
  <c r="F217" i="3"/>
  <c r="C217" i="3"/>
  <c r="G216" i="3"/>
  <c r="F216" i="3"/>
  <c r="C216" i="3"/>
  <c r="G215" i="3"/>
  <c r="F215" i="3"/>
  <c r="C215" i="3"/>
  <c r="G214" i="3"/>
  <c r="F214" i="3"/>
  <c r="C214" i="3"/>
  <c r="G213" i="3"/>
  <c r="F213" i="3"/>
  <c r="C213" i="3"/>
  <c r="G212" i="3"/>
  <c r="F212" i="3"/>
  <c r="C212" i="3"/>
  <c r="G211" i="3"/>
  <c r="F211" i="3"/>
  <c r="C211" i="3"/>
  <c r="G210" i="3"/>
  <c r="F210" i="3"/>
  <c r="C210" i="3"/>
  <c r="G209" i="3"/>
  <c r="F209" i="3"/>
  <c r="C209" i="3"/>
  <c r="G208" i="3"/>
  <c r="F208" i="3"/>
  <c r="C208" i="3"/>
  <c r="G207" i="3"/>
  <c r="F207" i="3"/>
  <c r="C207" i="3"/>
  <c r="G206" i="3"/>
  <c r="F206" i="3"/>
  <c r="C206" i="3"/>
  <c r="G205" i="3"/>
  <c r="F205" i="3"/>
  <c r="C205" i="3"/>
  <c r="G204" i="3"/>
  <c r="F204" i="3"/>
  <c r="C204" i="3"/>
  <c r="G203" i="3"/>
  <c r="F203" i="3"/>
  <c r="C203" i="3"/>
  <c r="G202" i="3"/>
  <c r="F202" i="3"/>
  <c r="C202" i="3"/>
  <c r="G201" i="3"/>
  <c r="F201" i="3"/>
  <c r="C201" i="3"/>
  <c r="G200" i="3"/>
  <c r="F200" i="3"/>
  <c r="C200" i="3"/>
  <c r="G199" i="3"/>
  <c r="F199" i="3"/>
  <c r="C199" i="3"/>
  <c r="G198" i="3"/>
  <c r="F198" i="3"/>
  <c r="C198" i="3"/>
  <c r="G197" i="3"/>
  <c r="F197" i="3"/>
  <c r="C197" i="3"/>
  <c r="G196" i="3"/>
  <c r="F196" i="3"/>
  <c r="C196" i="3"/>
  <c r="G195" i="3"/>
  <c r="F195" i="3"/>
  <c r="C195" i="3"/>
  <c r="G194" i="3"/>
  <c r="F194" i="3"/>
  <c r="C194" i="3"/>
  <c r="G193" i="3"/>
  <c r="F193" i="3"/>
  <c r="C193" i="3"/>
  <c r="G192" i="3"/>
  <c r="F192" i="3"/>
  <c r="C192" i="3"/>
  <c r="G191" i="3"/>
  <c r="F191" i="3"/>
  <c r="C191" i="3"/>
  <c r="G190" i="3"/>
  <c r="F190" i="3"/>
  <c r="C190" i="3"/>
  <c r="G189" i="3"/>
  <c r="F189" i="3"/>
  <c r="C189" i="3"/>
  <c r="G188" i="3"/>
  <c r="F188" i="3"/>
  <c r="C188" i="3"/>
  <c r="G187" i="3"/>
  <c r="F187" i="3"/>
  <c r="C187" i="3"/>
  <c r="G186" i="3"/>
  <c r="F186" i="3"/>
  <c r="C186" i="3"/>
  <c r="G185" i="3"/>
  <c r="F185" i="3"/>
  <c r="C185" i="3"/>
  <c r="G184" i="3"/>
  <c r="F184" i="3"/>
  <c r="C184" i="3"/>
  <c r="G183" i="3"/>
  <c r="F183" i="3"/>
  <c r="C183" i="3"/>
  <c r="G182" i="3"/>
  <c r="F182" i="3"/>
  <c r="C182" i="3"/>
  <c r="G181" i="3"/>
  <c r="F181" i="3"/>
  <c r="C181" i="3"/>
  <c r="G180" i="3"/>
  <c r="F180" i="3"/>
  <c r="C180" i="3"/>
  <c r="G179" i="3"/>
  <c r="F179" i="3"/>
  <c r="C179" i="3"/>
  <c r="G178" i="3"/>
  <c r="F178" i="3"/>
  <c r="C178" i="3"/>
  <c r="G177" i="3"/>
  <c r="F177" i="3"/>
  <c r="C177" i="3"/>
  <c r="G176" i="3"/>
  <c r="F176" i="3"/>
  <c r="C176" i="3"/>
  <c r="G175" i="3"/>
  <c r="F175" i="3"/>
  <c r="C175" i="3"/>
  <c r="G174" i="3"/>
  <c r="F174" i="3"/>
  <c r="C174" i="3"/>
  <c r="G173" i="3"/>
  <c r="F173" i="3"/>
  <c r="C173" i="3"/>
  <c r="G172" i="3"/>
  <c r="F172" i="3"/>
  <c r="C172" i="3"/>
  <c r="G171" i="3"/>
  <c r="F171" i="3"/>
  <c r="C171" i="3"/>
  <c r="G170" i="3"/>
  <c r="F170" i="3"/>
  <c r="C170" i="3"/>
  <c r="G169" i="3"/>
  <c r="F169" i="3"/>
  <c r="C169" i="3"/>
  <c r="G168" i="3"/>
  <c r="F168" i="3"/>
  <c r="C168" i="3"/>
  <c r="G167" i="3"/>
  <c r="F167" i="3"/>
  <c r="C167" i="3"/>
  <c r="G166" i="3"/>
  <c r="F166" i="3"/>
  <c r="C166" i="3"/>
  <c r="G165" i="3"/>
  <c r="F165" i="3"/>
  <c r="C165" i="3"/>
  <c r="G164" i="3"/>
  <c r="F164" i="3"/>
  <c r="C164" i="3"/>
  <c r="G163" i="3"/>
  <c r="F163" i="3"/>
  <c r="C163" i="3"/>
  <c r="G162" i="3"/>
  <c r="F162" i="3"/>
  <c r="C162" i="3"/>
  <c r="G161" i="3"/>
  <c r="F161" i="3"/>
  <c r="C161" i="3"/>
  <c r="G160" i="3"/>
  <c r="F160" i="3"/>
  <c r="C160" i="3"/>
  <c r="G159" i="3"/>
  <c r="F159" i="3"/>
  <c r="C159" i="3"/>
  <c r="G158" i="3"/>
  <c r="F158" i="3"/>
  <c r="C158" i="3"/>
  <c r="G157" i="3"/>
  <c r="F157" i="3"/>
  <c r="C157" i="3"/>
  <c r="G156" i="3"/>
  <c r="F156" i="3"/>
  <c r="C156" i="3"/>
  <c r="G155" i="3"/>
  <c r="F155" i="3"/>
  <c r="C155" i="3"/>
  <c r="G154" i="3"/>
  <c r="F154" i="3"/>
  <c r="C154" i="3"/>
  <c r="G153" i="3"/>
  <c r="F153" i="3"/>
  <c r="C153" i="3"/>
  <c r="G152" i="3"/>
  <c r="F152" i="3"/>
  <c r="C152" i="3"/>
  <c r="G151" i="3"/>
  <c r="F151" i="3"/>
  <c r="C151" i="3"/>
  <c r="G150" i="3"/>
  <c r="F150" i="3"/>
  <c r="C150" i="3"/>
  <c r="G149" i="3"/>
  <c r="F149" i="3"/>
  <c r="C149" i="3"/>
  <c r="G148" i="3"/>
  <c r="F148" i="3"/>
  <c r="C148" i="3"/>
  <c r="G147" i="3"/>
  <c r="F147" i="3"/>
  <c r="C147" i="3"/>
  <c r="G146" i="3"/>
  <c r="F146" i="3"/>
  <c r="C146" i="3"/>
  <c r="G145" i="3"/>
  <c r="F145" i="3"/>
  <c r="C145" i="3"/>
  <c r="G144" i="3"/>
  <c r="F144" i="3"/>
  <c r="C144" i="3"/>
  <c r="G143" i="3"/>
  <c r="F143" i="3"/>
  <c r="C143" i="3"/>
  <c r="G142" i="3"/>
  <c r="F142" i="3"/>
  <c r="C142" i="3"/>
  <c r="G141" i="3"/>
  <c r="F141" i="3"/>
  <c r="C141" i="3"/>
  <c r="G140" i="3"/>
  <c r="F140" i="3"/>
  <c r="C140" i="3"/>
  <c r="G139" i="3"/>
  <c r="F139" i="3"/>
  <c r="C139" i="3"/>
  <c r="G138" i="3"/>
  <c r="F138" i="3"/>
  <c r="C138" i="3"/>
  <c r="G137" i="3"/>
  <c r="F137" i="3"/>
  <c r="C137" i="3"/>
  <c r="G136" i="3"/>
  <c r="F136" i="3"/>
  <c r="C136" i="3"/>
  <c r="G135" i="3"/>
  <c r="F135" i="3"/>
  <c r="C135" i="3"/>
  <c r="G134" i="3"/>
  <c r="F134" i="3"/>
  <c r="C134" i="3"/>
  <c r="G133" i="3"/>
  <c r="F133" i="3"/>
  <c r="C133" i="3"/>
  <c r="G132" i="3"/>
  <c r="F132" i="3"/>
  <c r="C132" i="3"/>
  <c r="G131" i="3"/>
  <c r="F131" i="3"/>
  <c r="C131" i="3"/>
  <c r="G130" i="3"/>
  <c r="F130" i="3"/>
  <c r="C130" i="3"/>
  <c r="G129" i="3"/>
  <c r="F129" i="3"/>
  <c r="C129" i="3"/>
  <c r="G128" i="3"/>
  <c r="F128" i="3"/>
  <c r="C128" i="3"/>
  <c r="G127" i="3"/>
  <c r="F127" i="3"/>
  <c r="C127" i="3"/>
  <c r="G126" i="3"/>
  <c r="F126" i="3"/>
  <c r="C126" i="3"/>
  <c r="G125" i="3"/>
  <c r="F125" i="3"/>
  <c r="C125" i="3"/>
  <c r="G124" i="3"/>
  <c r="F124" i="3"/>
  <c r="C124" i="3"/>
  <c r="G123" i="3"/>
  <c r="F123" i="3"/>
  <c r="C123" i="3"/>
  <c r="G122" i="3"/>
  <c r="F122" i="3"/>
  <c r="C122" i="3"/>
  <c r="G121" i="3"/>
  <c r="F121" i="3"/>
  <c r="C121" i="3"/>
  <c r="G120" i="3"/>
  <c r="F120" i="3"/>
  <c r="C120" i="3"/>
  <c r="G119" i="3"/>
  <c r="F119" i="3"/>
  <c r="C119" i="3"/>
  <c r="G118" i="3"/>
  <c r="F118" i="3"/>
  <c r="C118" i="3"/>
  <c r="G117" i="3"/>
  <c r="F117" i="3"/>
  <c r="C117" i="3"/>
  <c r="G116" i="3"/>
  <c r="F116" i="3"/>
  <c r="C116" i="3"/>
  <c r="G115" i="3"/>
  <c r="F115" i="3"/>
  <c r="C115" i="3"/>
  <c r="G114" i="3"/>
  <c r="F114" i="3"/>
  <c r="C114" i="3"/>
  <c r="G113" i="3"/>
  <c r="F113" i="3"/>
  <c r="C113" i="3"/>
  <c r="G112" i="3"/>
  <c r="F112" i="3"/>
  <c r="C112" i="3"/>
  <c r="G111" i="3"/>
  <c r="F111" i="3"/>
  <c r="C111" i="3"/>
  <c r="G110" i="3"/>
  <c r="F110" i="3"/>
  <c r="C110" i="3"/>
  <c r="G109" i="3"/>
  <c r="F109" i="3"/>
  <c r="C109" i="3"/>
  <c r="G108" i="3"/>
  <c r="F108" i="3"/>
  <c r="C108" i="3"/>
  <c r="G107" i="3"/>
  <c r="F107" i="3"/>
  <c r="C107" i="3"/>
  <c r="G106" i="3"/>
  <c r="F106" i="3"/>
  <c r="C106" i="3"/>
  <c r="G105" i="3"/>
  <c r="F105" i="3"/>
  <c r="C105" i="3"/>
  <c r="G104" i="3"/>
  <c r="F104" i="3"/>
  <c r="C104" i="3"/>
  <c r="G103" i="3"/>
  <c r="F103" i="3"/>
  <c r="C103" i="3"/>
  <c r="G102" i="3"/>
  <c r="F102" i="3"/>
  <c r="C102" i="3"/>
  <c r="G101" i="3"/>
  <c r="F101" i="3"/>
  <c r="C101" i="3"/>
  <c r="G100" i="3"/>
  <c r="F100" i="3"/>
  <c r="C100" i="3"/>
  <c r="G99" i="3"/>
  <c r="F99" i="3"/>
  <c r="C99" i="3"/>
  <c r="G98" i="3"/>
  <c r="F98" i="3"/>
  <c r="C98" i="3"/>
  <c r="G97" i="3"/>
  <c r="F97" i="3"/>
  <c r="C97" i="3"/>
  <c r="G96" i="3"/>
  <c r="F96" i="3"/>
  <c r="C96" i="3"/>
  <c r="G95" i="3"/>
  <c r="F95" i="3"/>
  <c r="C95" i="3"/>
  <c r="G94" i="3"/>
  <c r="F94" i="3"/>
  <c r="C94" i="3"/>
  <c r="G93" i="3"/>
  <c r="F93" i="3"/>
  <c r="C93" i="3"/>
  <c r="G92" i="3"/>
  <c r="F92" i="3"/>
  <c r="C92" i="3"/>
  <c r="G91" i="3"/>
  <c r="F91" i="3"/>
  <c r="C91" i="3"/>
  <c r="G90" i="3"/>
  <c r="F90" i="3"/>
  <c r="C90" i="3"/>
  <c r="G89" i="3"/>
  <c r="F89" i="3"/>
  <c r="C89" i="3"/>
  <c r="G88" i="3"/>
  <c r="F88" i="3"/>
  <c r="C88" i="3"/>
  <c r="G87" i="3"/>
  <c r="F87" i="3"/>
  <c r="C87" i="3"/>
  <c r="G86" i="3"/>
  <c r="F86" i="3"/>
  <c r="C86" i="3"/>
  <c r="G85" i="3"/>
  <c r="F85" i="3"/>
  <c r="C85" i="3"/>
  <c r="G84" i="3"/>
  <c r="F84" i="3"/>
  <c r="C84" i="3"/>
  <c r="G83" i="3"/>
  <c r="F83" i="3"/>
  <c r="C83" i="3"/>
  <c r="G82" i="3"/>
  <c r="F82" i="3"/>
  <c r="C82" i="3"/>
  <c r="G81" i="3"/>
  <c r="F81" i="3"/>
  <c r="C81" i="3"/>
  <c r="G80" i="3"/>
  <c r="F80" i="3"/>
  <c r="C80" i="3"/>
  <c r="G79" i="3"/>
  <c r="F79" i="3"/>
  <c r="C79" i="3"/>
  <c r="G78" i="3"/>
  <c r="F78" i="3"/>
  <c r="C78" i="3"/>
  <c r="G77" i="3"/>
  <c r="F77" i="3"/>
  <c r="C77" i="3"/>
  <c r="G76" i="3"/>
  <c r="F76" i="3"/>
  <c r="C76" i="3"/>
  <c r="G75" i="3"/>
  <c r="F75" i="3"/>
  <c r="C75" i="3"/>
  <c r="G74" i="3"/>
  <c r="F74" i="3"/>
  <c r="C74" i="3"/>
  <c r="G73" i="3"/>
  <c r="F73" i="3"/>
  <c r="C73" i="3"/>
  <c r="G72" i="3"/>
  <c r="F72" i="3"/>
  <c r="C72" i="3"/>
  <c r="G71" i="3"/>
  <c r="F71" i="3"/>
  <c r="C71" i="3"/>
  <c r="G70" i="3"/>
  <c r="F70" i="3"/>
  <c r="C70" i="3"/>
  <c r="G69" i="3"/>
  <c r="F69" i="3"/>
  <c r="C69" i="3"/>
  <c r="G68" i="3"/>
  <c r="F68" i="3"/>
  <c r="C68" i="3"/>
  <c r="G67" i="3"/>
  <c r="F67" i="3"/>
  <c r="C67" i="3"/>
  <c r="G66" i="3"/>
  <c r="F66" i="3"/>
  <c r="C66" i="3"/>
  <c r="G65" i="3"/>
  <c r="F65" i="3"/>
  <c r="C65" i="3"/>
  <c r="G64" i="3"/>
  <c r="F64" i="3"/>
  <c r="C64" i="3"/>
  <c r="G63" i="3"/>
  <c r="F63" i="3"/>
  <c r="C63" i="3"/>
  <c r="G62" i="3"/>
  <c r="F62" i="3"/>
  <c r="C62" i="3"/>
  <c r="G61" i="3"/>
  <c r="F61" i="3"/>
  <c r="C61" i="3"/>
  <c r="G60" i="3"/>
  <c r="F60" i="3"/>
  <c r="C60" i="3"/>
  <c r="G59" i="3"/>
  <c r="F59" i="3"/>
  <c r="C59" i="3"/>
  <c r="G58" i="3"/>
  <c r="F58" i="3"/>
  <c r="C58" i="3"/>
  <c r="G57" i="3"/>
  <c r="F57" i="3"/>
  <c r="C57" i="3"/>
  <c r="G56" i="3"/>
  <c r="F56" i="3"/>
  <c r="C56" i="3"/>
  <c r="G55" i="3"/>
  <c r="F55" i="3"/>
  <c r="C55" i="3"/>
  <c r="G54" i="3"/>
  <c r="F54" i="3"/>
  <c r="C54" i="3"/>
  <c r="G53" i="3"/>
  <c r="F53" i="3"/>
  <c r="C53" i="3"/>
  <c r="G52" i="3"/>
  <c r="F52" i="3"/>
  <c r="C52" i="3"/>
  <c r="G51" i="3"/>
  <c r="F51" i="3"/>
  <c r="C51" i="3"/>
  <c r="G50" i="3"/>
  <c r="F50" i="3"/>
  <c r="C50" i="3"/>
  <c r="G49" i="3"/>
  <c r="F49" i="3"/>
  <c r="C49" i="3"/>
  <c r="G48" i="3"/>
  <c r="F48" i="3"/>
  <c r="C48" i="3"/>
  <c r="G47" i="3"/>
  <c r="F47" i="3"/>
  <c r="C47" i="3"/>
  <c r="G46" i="3"/>
  <c r="F46" i="3"/>
  <c r="C46" i="3"/>
  <c r="G45" i="3"/>
  <c r="F45" i="3"/>
  <c r="C45" i="3"/>
  <c r="G44" i="3"/>
  <c r="F44" i="3"/>
  <c r="C44" i="3"/>
  <c r="G43" i="3"/>
  <c r="F43" i="3"/>
  <c r="C43" i="3"/>
  <c r="G42" i="3"/>
  <c r="F42" i="3"/>
  <c r="C42" i="3"/>
  <c r="G41" i="3"/>
  <c r="F41" i="3"/>
  <c r="C41" i="3"/>
  <c r="G40" i="3"/>
  <c r="F40" i="3"/>
  <c r="C40" i="3"/>
  <c r="G39" i="3"/>
  <c r="F39" i="3"/>
  <c r="C39" i="3"/>
  <c r="G38" i="3"/>
  <c r="F38" i="3"/>
  <c r="C38" i="3"/>
  <c r="G37" i="3"/>
  <c r="F37" i="3"/>
  <c r="C37" i="3"/>
  <c r="G36" i="3"/>
  <c r="F36" i="3"/>
  <c r="C36" i="3"/>
  <c r="G35" i="3"/>
  <c r="F35" i="3"/>
  <c r="C35" i="3"/>
  <c r="G34" i="3"/>
  <c r="F34" i="3"/>
  <c r="C34" i="3"/>
  <c r="G33" i="3"/>
  <c r="F33" i="3"/>
  <c r="C33" i="3"/>
  <c r="G32" i="3"/>
  <c r="F32" i="3"/>
  <c r="C32" i="3"/>
  <c r="G31" i="3"/>
  <c r="F31" i="3"/>
  <c r="C31" i="3"/>
  <c r="G30" i="3"/>
  <c r="F30" i="3"/>
  <c r="C30" i="3"/>
  <c r="G29" i="3"/>
  <c r="F29" i="3"/>
  <c r="C29" i="3"/>
  <c r="G28" i="3"/>
  <c r="F28" i="3"/>
  <c r="C28" i="3"/>
  <c r="G27" i="3"/>
  <c r="F27" i="3"/>
  <c r="C27" i="3"/>
  <c r="G26" i="3"/>
  <c r="F26" i="3"/>
  <c r="C26" i="3"/>
  <c r="G25" i="3"/>
  <c r="F25" i="3"/>
  <c r="C25" i="3"/>
  <c r="G24" i="3"/>
  <c r="F24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G6" i="3"/>
  <c r="C6" i="3"/>
  <c r="C5" i="3"/>
  <c r="G305" i="1"/>
  <c r="F305" i="1"/>
  <c r="C305" i="1"/>
  <c r="G304" i="1"/>
  <c r="F304" i="1"/>
  <c r="C304" i="1"/>
  <c r="G303" i="1"/>
  <c r="F303" i="1"/>
  <c r="C303" i="1"/>
  <c r="G302" i="1"/>
  <c r="F302" i="1"/>
  <c r="C302" i="1"/>
  <c r="G301" i="1"/>
  <c r="F301" i="1"/>
  <c r="C301" i="1"/>
  <c r="G300" i="1"/>
  <c r="F300" i="1"/>
  <c r="C300" i="1"/>
  <c r="G299" i="1"/>
  <c r="F299" i="1"/>
  <c r="C299" i="1"/>
  <c r="G298" i="1"/>
  <c r="F298" i="1"/>
  <c r="C298" i="1"/>
  <c r="G297" i="1"/>
  <c r="F297" i="1"/>
  <c r="C297" i="1"/>
  <c r="G296" i="1"/>
  <c r="F296" i="1"/>
  <c r="C296" i="1"/>
  <c r="G295" i="1"/>
  <c r="F295" i="1"/>
  <c r="C295" i="1"/>
  <c r="G294" i="1"/>
  <c r="F294" i="1"/>
  <c r="C294" i="1"/>
  <c r="G293" i="1"/>
  <c r="F293" i="1"/>
  <c r="C293" i="1"/>
  <c r="G292" i="1"/>
  <c r="F292" i="1"/>
  <c r="C292" i="1"/>
  <c r="G291" i="1"/>
  <c r="F291" i="1"/>
  <c r="C291" i="1"/>
  <c r="G290" i="1"/>
  <c r="F290" i="1"/>
  <c r="C290" i="1"/>
  <c r="G289" i="1"/>
  <c r="F289" i="1"/>
  <c r="C289" i="1"/>
  <c r="G288" i="1"/>
  <c r="F288" i="1"/>
  <c r="C288" i="1"/>
  <c r="G287" i="1"/>
  <c r="F287" i="1"/>
  <c r="C287" i="1"/>
  <c r="G286" i="1"/>
  <c r="F286" i="1"/>
  <c r="C286" i="1"/>
  <c r="G285" i="1"/>
  <c r="F285" i="1"/>
  <c r="C285" i="1"/>
  <c r="G284" i="1"/>
  <c r="F284" i="1"/>
  <c r="C284" i="1"/>
  <c r="G283" i="1"/>
  <c r="F283" i="1"/>
  <c r="C283" i="1"/>
  <c r="G282" i="1"/>
  <c r="F282" i="1"/>
  <c r="C282" i="1"/>
  <c r="G281" i="1"/>
  <c r="F281" i="1"/>
  <c r="C281" i="1"/>
  <c r="G280" i="1"/>
  <c r="F280" i="1"/>
  <c r="C280" i="1"/>
  <c r="G279" i="1"/>
  <c r="F279" i="1"/>
  <c r="C279" i="1"/>
  <c r="G278" i="1"/>
  <c r="F278" i="1"/>
  <c r="C278" i="1"/>
  <c r="G277" i="1"/>
  <c r="F277" i="1"/>
  <c r="C277" i="1"/>
  <c r="G276" i="1"/>
  <c r="F276" i="1"/>
  <c r="C276" i="1"/>
  <c r="G275" i="1"/>
  <c r="F275" i="1"/>
  <c r="C275" i="1"/>
  <c r="G274" i="1"/>
  <c r="F274" i="1"/>
  <c r="C274" i="1"/>
  <c r="G273" i="1"/>
  <c r="F273" i="1"/>
  <c r="C273" i="1"/>
  <c r="G272" i="1"/>
  <c r="F272" i="1"/>
  <c r="C272" i="1"/>
  <c r="G271" i="1"/>
  <c r="F271" i="1"/>
  <c r="C271" i="1"/>
  <c r="G270" i="1"/>
  <c r="F270" i="1"/>
  <c r="C270" i="1"/>
  <c r="G269" i="1"/>
  <c r="F269" i="1"/>
  <c r="C269" i="1"/>
  <c r="G268" i="1"/>
  <c r="F268" i="1"/>
  <c r="C268" i="1"/>
  <c r="G267" i="1"/>
  <c r="F267" i="1"/>
  <c r="C267" i="1"/>
  <c r="G266" i="1"/>
  <c r="F266" i="1"/>
  <c r="C266" i="1"/>
  <c r="G265" i="1"/>
  <c r="F265" i="1"/>
  <c r="C265" i="1"/>
  <c r="G264" i="1"/>
  <c r="F264" i="1"/>
  <c r="C264" i="1"/>
  <c r="G263" i="1"/>
  <c r="F263" i="1"/>
  <c r="C263" i="1"/>
  <c r="G262" i="1"/>
  <c r="F262" i="1"/>
  <c r="C262" i="1"/>
  <c r="G261" i="1"/>
  <c r="F261" i="1"/>
  <c r="C261" i="1"/>
  <c r="G260" i="1"/>
  <c r="F260" i="1"/>
  <c r="C260" i="1"/>
  <c r="G259" i="1"/>
  <c r="F259" i="1"/>
  <c r="C259" i="1"/>
  <c r="G258" i="1"/>
  <c r="F258" i="1"/>
  <c r="C258" i="1"/>
  <c r="G257" i="1"/>
  <c r="F257" i="1"/>
  <c r="C257" i="1"/>
  <c r="G256" i="1"/>
  <c r="F256" i="1"/>
  <c r="C256" i="1"/>
  <c r="G255" i="1"/>
  <c r="F255" i="1"/>
  <c r="C255" i="1"/>
  <c r="G254" i="1"/>
  <c r="F254" i="1"/>
  <c r="C254" i="1"/>
  <c r="G253" i="1"/>
  <c r="F253" i="1"/>
  <c r="C253" i="1"/>
  <c r="G252" i="1"/>
  <c r="F252" i="1"/>
  <c r="C252" i="1"/>
  <c r="G251" i="1"/>
  <c r="F251" i="1"/>
  <c r="C251" i="1"/>
  <c r="G250" i="1"/>
  <c r="F250" i="1"/>
  <c r="C250" i="1"/>
  <c r="G249" i="1"/>
  <c r="F249" i="1"/>
  <c r="C249" i="1"/>
  <c r="G248" i="1"/>
  <c r="F248" i="1"/>
  <c r="C248" i="1"/>
  <c r="G247" i="1"/>
  <c r="F247" i="1"/>
  <c r="C247" i="1"/>
  <c r="G246" i="1"/>
  <c r="F246" i="1"/>
  <c r="C246" i="1"/>
  <c r="G245" i="1"/>
  <c r="F245" i="1"/>
  <c r="C245" i="1"/>
  <c r="G244" i="1"/>
  <c r="F244" i="1"/>
  <c r="C244" i="1"/>
  <c r="G243" i="1"/>
  <c r="F243" i="1"/>
  <c r="C243" i="1"/>
  <c r="G242" i="1"/>
  <c r="F242" i="1"/>
  <c r="C242" i="1"/>
  <c r="G241" i="1"/>
  <c r="F241" i="1"/>
  <c r="C241" i="1"/>
  <c r="G240" i="1"/>
  <c r="F240" i="1"/>
  <c r="C240" i="1"/>
  <c r="G239" i="1"/>
  <c r="F239" i="1"/>
  <c r="C239" i="1"/>
  <c r="G238" i="1"/>
  <c r="F238" i="1"/>
  <c r="C238" i="1"/>
  <c r="G237" i="1"/>
  <c r="F237" i="1"/>
  <c r="C237" i="1"/>
  <c r="G236" i="1"/>
  <c r="F236" i="1"/>
  <c r="C236" i="1"/>
  <c r="G235" i="1"/>
  <c r="F235" i="1"/>
  <c r="C235" i="1"/>
  <c r="G234" i="1"/>
  <c r="F234" i="1"/>
  <c r="C234" i="1"/>
  <c r="G233" i="1"/>
  <c r="F233" i="1"/>
  <c r="C233" i="1"/>
  <c r="G232" i="1"/>
  <c r="F232" i="1"/>
  <c r="C232" i="1"/>
  <c r="G231" i="1"/>
  <c r="F231" i="1"/>
  <c r="C231" i="1"/>
  <c r="G230" i="1"/>
  <c r="F230" i="1"/>
  <c r="C230" i="1"/>
  <c r="G229" i="1"/>
  <c r="F229" i="1"/>
  <c r="C229" i="1"/>
  <c r="G228" i="1"/>
  <c r="F228" i="1"/>
  <c r="C228" i="1"/>
  <c r="G227" i="1"/>
  <c r="F227" i="1"/>
  <c r="C227" i="1"/>
  <c r="G226" i="1"/>
  <c r="F226" i="1"/>
  <c r="C226" i="1"/>
  <c r="G225" i="1"/>
  <c r="F225" i="1"/>
  <c r="C225" i="1"/>
  <c r="G224" i="1"/>
  <c r="F224" i="1"/>
  <c r="C224" i="1"/>
  <c r="G223" i="1"/>
  <c r="F223" i="1"/>
  <c r="C223" i="1"/>
  <c r="G222" i="1"/>
  <c r="F222" i="1"/>
  <c r="C222" i="1"/>
  <c r="G221" i="1"/>
  <c r="F221" i="1"/>
  <c r="C221" i="1"/>
  <c r="G220" i="1"/>
  <c r="F220" i="1"/>
  <c r="C220" i="1"/>
  <c r="G219" i="1"/>
  <c r="F219" i="1"/>
  <c r="C219" i="1"/>
  <c r="G218" i="1"/>
  <c r="F218" i="1"/>
  <c r="C218" i="1"/>
  <c r="G217" i="1"/>
  <c r="F217" i="1"/>
  <c r="C217" i="1"/>
  <c r="G216" i="1"/>
  <c r="F216" i="1"/>
  <c r="C216" i="1"/>
  <c r="G215" i="1"/>
  <c r="F215" i="1"/>
  <c r="C215" i="1"/>
  <c r="G214" i="1"/>
  <c r="F214" i="1"/>
  <c r="C214" i="1"/>
  <c r="G213" i="1"/>
  <c r="F213" i="1"/>
  <c r="C213" i="1"/>
  <c r="G212" i="1"/>
  <c r="F212" i="1"/>
  <c r="C212" i="1"/>
  <c r="G211" i="1"/>
  <c r="F211" i="1"/>
  <c r="C211" i="1"/>
  <c r="G210" i="1"/>
  <c r="F210" i="1"/>
  <c r="C210" i="1"/>
  <c r="G209" i="1"/>
  <c r="F209" i="1"/>
  <c r="C209" i="1"/>
  <c r="G208" i="1"/>
  <c r="F208" i="1"/>
  <c r="C208" i="1"/>
  <c r="G207" i="1"/>
  <c r="F207" i="1"/>
  <c r="C207" i="1"/>
  <c r="G206" i="1"/>
  <c r="F206" i="1"/>
  <c r="C206" i="1"/>
  <c r="G205" i="1"/>
  <c r="F205" i="1"/>
  <c r="C205" i="1"/>
  <c r="G204" i="1"/>
  <c r="F204" i="1"/>
  <c r="C204" i="1"/>
  <c r="G203" i="1"/>
  <c r="F203" i="1"/>
  <c r="C203" i="1"/>
  <c r="G202" i="1"/>
  <c r="F202" i="1"/>
  <c r="C202" i="1"/>
  <c r="G201" i="1"/>
  <c r="F201" i="1"/>
  <c r="C201" i="1"/>
  <c r="G200" i="1"/>
  <c r="F200" i="1"/>
  <c r="C200" i="1"/>
  <c r="G199" i="1"/>
  <c r="F199" i="1"/>
  <c r="C199" i="1"/>
  <c r="G198" i="1"/>
  <c r="F198" i="1"/>
  <c r="C198" i="1"/>
  <c r="G197" i="1"/>
  <c r="F197" i="1"/>
  <c r="C197" i="1"/>
  <c r="G196" i="1"/>
  <c r="F196" i="1"/>
  <c r="C196" i="1"/>
  <c r="G195" i="1"/>
  <c r="F195" i="1"/>
  <c r="C195" i="1"/>
  <c r="G194" i="1"/>
  <c r="F194" i="1"/>
  <c r="C194" i="1"/>
  <c r="G193" i="1"/>
  <c r="F193" i="1"/>
  <c r="C193" i="1"/>
  <c r="G192" i="1"/>
  <c r="F192" i="1"/>
  <c r="C192" i="1"/>
  <c r="G191" i="1"/>
  <c r="F191" i="1"/>
  <c r="C191" i="1"/>
  <c r="G190" i="1"/>
  <c r="F190" i="1"/>
  <c r="C190" i="1"/>
  <c r="G189" i="1"/>
  <c r="F189" i="1"/>
  <c r="C189" i="1"/>
  <c r="G188" i="1"/>
  <c r="F188" i="1"/>
  <c r="C188" i="1"/>
  <c r="G187" i="1"/>
  <c r="F187" i="1"/>
  <c r="C187" i="1"/>
  <c r="G186" i="1"/>
  <c r="F186" i="1"/>
  <c r="C186" i="1"/>
  <c r="G185" i="1"/>
  <c r="F185" i="1"/>
  <c r="C185" i="1"/>
  <c r="G184" i="1"/>
  <c r="F184" i="1"/>
  <c r="C184" i="1"/>
  <c r="G183" i="1"/>
  <c r="F183" i="1"/>
  <c r="C183" i="1"/>
  <c r="G182" i="1"/>
  <c r="F182" i="1"/>
  <c r="C182" i="1"/>
  <c r="G181" i="1"/>
  <c r="F181" i="1"/>
  <c r="C181" i="1"/>
  <c r="G180" i="1"/>
  <c r="F180" i="1"/>
  <c r="C180" i="1"/>
  <c r="G179" i="1"/>
  <c r="F179" i="1"/>
  <c r="C179" i="1"/>
  <c r="G178" i="1"/>
  <c r="F178" i="1"/>
  <c r="C178" i="1"/>
  <c r="G177" i="1"/>
  <c r="F177" i="1"/>
  <c r="C177" i="1"/>
  <c r="G176" i="1"/>
  <c r="F176" i="1"/>
  <c r="C176" i="1"/>
  <c r="G175" i="1"/>
  <c r="F175" i="1"/>
  <c r="C175" i="1"/>
  <c r="G174" i="1"/>
  <c r="F174" i="1"/>
  <c r="C174" i="1"/>
  <c r="G173" i="1"/>
  <c r="F173" i="1"/>
  <c r="C173" i="1"/>
  <c r="G172" i="1"/>
  <c r="F172" i="1"/>
  <c r="C172" i="1"/>
  <c r="G171" i="1"/>
  <c r="F171" i="1"/>
  <c r="C171" i="1"/>
  <c r="G170" i="1"/>
  <c r="F170" i="1"/>
  <c r="C170" i="1"/>
  <c r="G169" i="1"/>
  <c r="F169" i="1"/>
  <c r="C169" i="1"/>
  <c r="G168" i="1"/>
  <c r="F168" i="1"/>
  <c r="C168" i="1"/>
  <c r="G167" i="1"/>
  <c r="F167" i="1"/>
  <c r="C167" i="1"/>
  <c r="G166" i="1"/>
  <c r="F166" i="1"/>
  <c r="C166" i="1"/>
  <c r="G165" i="1"/>
  <c r="F165" i="1"/>
  <c r="C165" i="1"/>
  <c r="G164" i="1"/>
  <c r="F164" i="1"/>
  <c r="C164" i="1"/>
  <c r="G163" i="1"/>
  <c r="F163" i="1"/>
  <c r="C163" i="1"/>
  <c r="G162" i="1"/>
  <c r="F162" i="1"/>
  <c r="C162" i="1"/>
  <c r="G161" i="1"/>
  <c r="F161" i="1"/>
  <c r="C161" i="1"/>
  <c r="G160" i="1"/>
  <c r="F160" i="1"/>
  <c r="C160" i="1"/>
  <c r="G159" i="1"/>
  <c r="F159" i="1"/>
  <c r="C159" i="1"/>
  <c r="G158" i="1"/>
  <c r="F158" i="1"/>
  <c r="C158" i="1"/>
  <c r="G157" i="1"/>
  <c r="F157" i="1"/>
  <c r="C157" i="1"/>
  <c r="G156" i="1"/>
  <c r="F156" i="1"/>
  <c r="C156" i="1"/>
  <c r="G155" i="1"/>
  <c r="F155" i="1"/>
  <c r="C155" i="1"/>
  <c r="G154" i="1"/>
  <c r="F154" i="1"/>
  <c r="C154" i="1"/>
  <c r="G153" i="1"/>
  <c r="F153" i="1"/>
  <c r="C153" i="1"/>
  <c r="G152" i="1"/>
  <c r="F152" i="1"/>
  <c r="C152" i="1"/>
  <c r="G151" i="1"/>
  <c r="F151" i="1"/>
  <c r="C151" i="1"/>
  <c r="G150" i="1"/>
  <c r="F150" i="1"/>
  <c r="C150" i="1"/>
  <c r="G149" i="1"/>
  <c r="F149" i="1"/>
  <c r="C149" i="1"/>
  <c r="G148" i="1"/>
  <c r="F148" i="1"/>
  <c r="C148" i="1"/>
  <c r="G147" i="1"/>
  <c r="F147" i="1"/>
  <c r="C147" i="1"/>
  <c r="G146" i="1"/>
  <c r="F146" i="1"/>
  <c r="C146" i="1"/>
  <c r="G145" i="1"/>
  <c r="F145" i="1"/>
  <c r="C145" i="1"/>
  <c r="G144" i="1"/>
  <c r="F144" i="1"/>
  <c r="C144" i="1"/>
  <c r="G143" i="1"/>
  <c r="F143" i="1"/>
  <c r="C143" i="1"/>
  <c r="G142" i="1"/>
  <c r="F142" i="1"/>
  <c r="C142" i="1"/>
  <c r="G141" i="1"/>
  <c r="F141" i="1"/>
  <c r="C141" i="1"/>
  <c r="G140" i="1"/>
  <c r="F140" i="1"/>
  <c r="C140" i="1"/>
  <c r="G139" i="1"/>
  <c r="F139" i="1"/>
  <c r="C139" i="1"/>
  <c r="G138" i="1"/>
  <c r="F138" i="1"/>
  <c r="C138" i="1"/>
  <c r="G137" i="1"/>
  <c r="F137" i="1"/>
  <c r="C137" i="1"/>
  <c r="G136" i="1"/>
  <c r="F136" i="1"/>
  <c r="C136" i="1"/>
  <c r="G135" i="1"/>
  <c r="F135" i="1"/>
  <c r="C135" i="1"/>
  <c r="G134" i="1"/>
  <c r="F134" i="1"/>
  <c r="C134" i="1"/>
  <c r="G133" i="1"/>
  <c r="F133" i="1"/>
  <c r="C133" i="1"/>
  <c r="G132" i="1"/>
  <c r="F132" i="1"/>
  <c r="C132" i="1"/>
  <c r="G131" i="1"/>
  <c r="F131" i="1"/>
  <c r="C131" i="1"/>
  <c r="G130" i="1"/>
  <c r="F130" i="1"/>
  <c r="C130" i="1"/>
  <c r="G129" i="1"/>
  <c r="F129" i="1"/>
  <c r="C129" i="1"/>
  <c r="G128" i="1"/>
  <c r="F128" i="1"/>
  <c r="C128" i="1"/>
  <c r="G127" i="1"/>
  <c r="F127" i="1"/>
  <c r="C127" i="1"/>
  <c r="G126" i="1"/>
  <c r="F126" i="1"/>
  <c r="C126" i="1"/>
  <c r="G125" i="1"/>
  <c r="F125" i="1"/>
  <c r="C125" i="1"/>
  <c r="G124" i="1"/>
  <c r="F124" i="1"/>
  <c r="C124" i="1"/>
  <c r="G123" i="1"/>
  <c r="F123" i="1"/>
  <c r="C123" i="1"/>
  <c r="G122" i="1"/>
  <c r="F122" i="1"/>
  <c r="C122" i="1"/>
  <c r="G121" i="1"/>
  <c r="F121" i="1"/>
  <c r="C121" i="1"/>
  <c r="G120" i="1"/>
  <c r="F120" i="1"/>
  <c r="C120" i="1"/>
  <c r="G119" i="1"/>
  <c r="F119" i="1"/>
  <c r="C119" i="1"/>
  <c r="G118" i="1"/>
  <c r="F118" i="1"/>
  <c r="C118" i="1"/>
  <c r="G117" i="1"/>
  <c r="F117" i="1"/>
  <c r="C117" i="1"/>
  <c r="G116" i="1"/>
  <c r="F116" i="1"/>
  <c r="C116" i="1"/>
  <c r="G115" i="1"/>
  <c r="F115" i="1"/>
  <c r="C115" i="1"/>
  <c r="G114" i="1"/>
  <c r="F114" i="1"/>
  <c r="C114" i="1"/>
  <c r="G113" i="1"/>
  <c r="F113" i="1"/>
  <c r="C113" i="1"/>
  <c r="G112" i="1"/>
  <c r="F112" i="1"/>
  <c r="C112" i="1"/>
  <c r="G111" i="1"/>
  <c r="F111" i="1"/>
  <c r="C111" i="1"/>
  <c r="G110" i="1"/>
  <c r="F110" i="1"/>
  <c r="C110" i="1"/>
  <c r="G109" i="1"/>
  <c r="F109" i="1"/>
  <c r="C109" i="1"/>
  <c r="G108" i="1"/>
  <c r="F108" i="1"/>
  <c r="C108" i="1"/>
  <c r="G107" i="1"/>
  <c r="F107" i="1"/>
  <c r="C107" i="1"/>
  <c r="G106" i="1"/>
  <c r="F106" i="1"/>
  <c r="C106" i="1"/>
  <c r="G105" i="1"/>
  <c r="F105" i="1"/>
  <c r="C105" i="1"/>
  <c r="G104" i="1"/>
  <c r="F104" i="1"/>
  <c r="C104" i="1"/>
  <c r="G103" i="1"/>
  <c r="F103" i="1"/>
  <c r="C103" i="1"/>
  <c r="G102" i="1"/>
  <c r="F102" i="1"/>
  <c r="C102" i="1"/>
  <c r="G101" i="1"/>
  <c r="F101" i="1"/>
  <c r="C101" i="1"/>
  <c r="G100" i="1"/>
  <c r="F100" i="1"/>
  <c r="C100" i="1"/>
  <c r="G99" i="1"/>
  <c r="F99" i="1"/>
  <c r="C99" i="1"/>
  <c r="G98" i="1"/>
  <c r="F98" i="1"/>
  <c r="C98" i="1"/>
  <c r="G97" i="1"/>
  <c r="F97" i="1"/>
  <c r="C97" i="1"/>
  <c r="G96" i="1"/>
  <c r="F96" i="1"/>
  <c r="C96" i="1"/>
  <c r="G95" i="1"/>
  <c r="F95" i="1"/>
  <c r="C95" i="1"/>
  <c r="G94" i="1"/>
  <c r="F94" i="1"/>
  <c r="C94" i="1"/>
  <c r="G93" i="1"/>
  <c r="F93" i="1"/>
  <c r="C93" i="1"/>
  <c r="G92" i="1"/>
  <c r="F92" i="1"/>
  <c r="C92" i="1"/>
  <c r="G91" i="1"/>
  <c r="F91" i="1"/>
  <c r="C91" i="1"/>
  <c r="G90" i="1"/>
  <c r="F90" i="1"/>
  <c r="C90" i="1"/>
  <c r="G89" i="1"/>
  <c r="F89" i="1"/>
  <c r="C89" i="1"/>
  <c r="G88" i="1"/>
  <c r="F88" i="1"/>
  <c r="C88" i="1"/>
  <c r="G87" i="1"/>
  <c r="F87" i="1"/>
  <c r="C87" i="1"/>
  <c r="G86" i="1"/>
  <c r="F86" i="1"/>
  <c r="C86" i="1"/>
  <c r="G85" i="1"/>
  <c r="F85" i="1"/>
  <c r="C85" i="1"/>
  <c r="G84" i="1"/>
  <c r="F84" i="1"/>
  <c r="C84" i="1"/>
  <c r="G83" i="1"/>
  <c r="F83" i="1"/>
  <c r="C83" i="1"/>
  <c r="G82" i="1"/>
  <c r="F82" i="1"/>
  <c r="C82" i="1"/>
  <c r="G81" i="1"/>
  <c r="F81" i="1"/>
  <c r="C81" i="1"/>
  <c r="G80" i="1"/>
  <c r="F80" i="1"/>
  <c r="C80" i="1"/>
  <c r="G79" i="1"/>
  <c r="F79" i="1"/>
  <c r="C79" i="1"/>
  <c r="G78" i="1"/>
  <c r="F78" i="1"/>
  <c r="C78" i="1"/>
  <c r="G77" i="1"/>
  <c r="F77" i="1"/>
  <c r="C77" i="1"/>
  <c r="G76" i="1"/>
  <c r="F76" i="1"/>
  <c r="C76" i="1"/>
  <c r="G75" i="1"/>
  <c r="F75" i="1"/>
  <c r="C75" i="1"/>
  <c r="G74" i="1"/>
  <c r="F74" i="1"/>
  <c r="C74" i="1"/>
  <c r="G73" i="1"/>
  <c r="F73" i="1"/>
  <c r="C73" i="1"/>
  <c r="G72" i="1"/>
  <c r="F72" i="1"/>
  <c r="C72" i="1"/>
  <c r="G71" i="1"/>
  <c r="F71" i="1"/>
  <c r="C71" i="1"/>
  <c r="G70" i="1"/>
  <c r="F70" i="1"/>
  <c r="C70" i="1"/>
  <c r="G69" i="1"/>
  <c r="F69" i="1"/>
  <c r="C69" i="1"/>
  <c r="G68" i="1"/>
  <c r="F68" i="1"/>
  <c r="C68" i="1"/>
  <c r="G67" i="1"/>
  <c r="F67" i="1"/>
  <c r="C67" i="1"/>
  <c r="G66" i="1"/>
  <c r="F66" i="1"/>
  <c r="C66" i="1"/>
  <c r="G65" i="1"/>
  <c r="F65" i="1"/>
  <c r="C65" i="1"/>
  <c r="G64" i="1"/>
  <c r="F64" i="1"/>
  <c r="C64" i="1"/>
  <c r="G63" i="1"/>
  <c r="F63" i="1"/>
  <c r="C63" i="1"/>
  <c r="G62" i="1"/>
  <c r="F62" i="1"/>
  <c r="C62" i="1"/>
  <c r="G61" i="1"/>
  <c r="F61" i="1"/>
  <c r="C61" i="1"/>
  <c r="G60" i="1"/>
  <c r="F60" i="1"/>
  <c r="C60" i="1"/>
  <c r="G59" i="1"/>
  <c r="F59" i="1"/>
  <c r="C59" i="1"/>
  <c r="G58" i="1"/>
  <c r="F58" i="1"/>
  <c r="C58" i="1"/>
  <c r="G57" i="1"/>
  <c r="F57" i="1"/>
  <c r="C57" i="1"/>
  <c r="G56" i="1"/>
  <c r="F56" i="1"/>
  <c r="C56" i="1"/>
  <c r="G55" i="1"/>
  <c r="F55" i="1"/>
  <c r="C55" i="1"/>
  <c r="G54" i="1"/>
  <c r="F54" i="1"/>
  <c r="C54" i="1"/>
  <c r="G53" i="1"/>
  <c r="F53" i="1"/>
  <c r="C53" i="1"/>
  <c r="G52" i="1"/>
  <c r="F52" i="1"/>
  <c r="C52" i="1"/>
  <c r="G51" i="1"/>
  <c r="F51" i="1"/>
  <c r="C51" i="1"/>
  <c r="G50" i="1"/>
  <c r="F50" i="1"/>
  <c r="C50" i="1"/>
  <c r="G49" i="1"/>
  <c r="F49" i="1"/>
  <c r="C49" i="1"/>
  <c r="G48" i="1"/>
  <c r="F48" i="1"/>
  <c r="C48" i="1"/>
  <c r="G47" i="1"/>
  <c r="F47" i="1"/>
  <c r="C47" i="1"/>
  <c r="G46" i="1"/>
  <c r="F46" i="1"/>
  <c r="C46" i="1"/>
  <c r="G45" i="1"/>
  <c r="F45" i="1"/>
  <c r="C45" i="1"/>
  <c r="G44" i="1"/>
  <c r="F44" i="1"/>
  <c r="C44" i="1"/>
  <c r="G43" i="1"/>
  <c r="F43" i="1"/>
  <c r="C43" i="1"/>
  <c r="G42" i="1"/>
  <c r="F42" i="1"/>
  <c r="C42" i="1"/>
  <c r="G41" i="1"/>
  <c r="F41" i="1"/>
  <c r="C41" i="1"/>
  <c r="G40" i="1"/>
  <c r="F40" i="1"/>
  <c r="C40" i="1"/>
  <c r="G39" i="1"/>
  <c r="F39" i="1"/>
  <c r="C39" i="1"/>
  <c r="G38" i="1"/>
  <c r="F38" i="1"/>
  <c r="C38" i="1"/>
  <c r="G37" i="1"/>
  <c r="F37" i="1"/>
  <c r="C37" i="1"/>
  <c r="G36" i="1"/>
  <c r="F36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18" i="1"/>
  <c r="C17" i="1"/>
  <c r="C16" i="1"/>
  <c r="C15" i="1"/>
  <c r="C14" i="1"/>
  <c r="C13" i="1"/>
  <c r="C11" i="1"/>
  <c r="C10" i="1"/>
  <c r="C9" i="1"/>
  <c r="C8" i="1"/>
  <c r="C7" i="1"/>
  <c r="C6" i="1"/>
  <c r="C5" i="1"/>
  <c r="C306" i="2"/>
  <c r="C305" i="2"/>
  <c r="C304" i="2"/>
  <c r="C303" i="2"/>
  <c r="C302" i="2"/>
  <c r="C301" i="2"/>
  <c r="G300" i="2"/>
  <c r="F300" i="2"/>
  <c r="C300" i="2"/>
  <c r="G299" i="2"/>
  <c r="F299" i="2"/>
  <c r="C299" i="2"/>
  <c r="G298" i="2"/>
  <c r="F298" i="2"/>
  <c r="C298" i="2"/>
  <c r="G297" i="2"/>
  <c r="F297" i="2"/>
  <c r="C297" i="2"/>
  <c r="G296" i="2"/>
  <c r="F296" i="2"/>
  <c r="C296" i="2"/>
  <c r="G295" i="2"/>
  <c r="F295" i="2"/>
  <c r="C295" i="2"/>
  <c r="G294" i="2"/>
  <c r="F294" i="2"/>
  <c r="C294" i="2"/>
  <c r="G293" i="2"/>
  <c r="F293" i="2"/>
  <c r="C293" i="2"/>
  <c r="G292" i="2"/>
  <c r="F292" i="2"/>
  <c r="C292" i="2"/>
  <c r="G291" i="2"/>
  <c r="F291" i="2"/>
  <c r="C291" i="2"/>
  <c r="G290" i="2"/>
  <c r="F290" i="2"/>
  <c r="C290" i="2"/>
  <c r="G289" i="2"/>
  <c r="F289" i="2"/>
  <c r="C289" i="2"/>
  <c r="G288" i="2"/>
  <c r="F288" i="2"/>
  <c r="C288" i="2"/>
  <c r="G287" i="2"/>
  <c r="F287" i="2"/>
  <c r="C287" i="2"/>
  <c r="G286" i="2"/>
  <c r="F286" i="2"/>
  <c r="C286" i="2"/>
  <c r="G285" i="2"/>
  <c r="F285" i="2"/>
  <c r="C285" i="2"/>
  <c r="G284" i="2"/>
  <c r="F284" i="2"/>
  <c r="C284" i="2"/>
  <c r="G283" i="2"/>
  <c r="F283" i="2"/>
  <c r="C283" i="2"/>
  <c r="G282" i="2"/>
  <c r="F282" i="2"/>
  <c r="C282" i="2"/>
  <c r="G281" i="2"/>
  <c r="F281" i="2"/>
  <c r="C281" i="2"/>
  <c r="G280" i="2"/>
  <c r="F280" i="2"/>
  <c r="C280" i="2"/>
  <c r="G279" i="2"/>
  <c r="F279" i="2"/>
  <c r="C279" i="2"/>
  <c r="G278" i="2"/>
  <c r="F278" i="2"/>
  <c r="C278" i="2"/>
  <c r="G277" i="2"/>
  <c r="F277" i="2"/>
  <c r="C277" i="2"/>
  <c r="G276" i="2"/>
  <c r="F276" i="2"/>
  <c r="C276" i="2"/>
  <c r="G275" i="2"/>
  <c r="F275" i="2"/>
  <c r="C275" i="2"/>
  <c r="G274" i="2"/>
  <c r="F274" i="2"/>
  <c r="C274" i="2"/>
  <c r="G273" i="2"/>
  <c r="F273" i="2"/>
  <c r="C273" i="2"/>
  <c r="G272" i="2"/>
  <c r="F272" i="2"/>
  <c r="C272" i="2"/>
  <c r="G271" i="2"/>
  <c r="F271" i="2"/>
  <c r="C271" i="2"/>
  <c r="G270" i="2"/>
  <c r="F270" i="2"/>
  <c r="C270" i="2"/>
  <c r="G269" i="2"/>
  <c r="F269" i="2"/>
  <c r="C269" i="2"/>
  <c r="G268" i="2"/>
  <c r="F268" i="2"/>
  <c r="C268" i="2"/>
  <c r="G267" i="2"/>
  <c r="F267" i="2"/>
  <c r="C267" i="2"/>
  <c r="G266" i="2"/>
  <c r="F266" i="2"/>
  <c r="C266" i="2"/>
  <c r="G265" i="2"/>
  <c r="F265" i="2"/>
  <c r="C265" i="2"/>
  <c r="G264" i="2"/>
  <c r="F264" i="2"/>
  <c r="C264" i="2"/>
  <c r="G263" i="2"/>
  <c r="F263" i="2"/>
  <c r="C263" i="2"/>
  <c r="G262" i="2"/>
  <c r="F262" i="2"/>
  <c r="C262" i="2"/>
  <c r="G261" i="2"/>
  <c r="F261" i="2"/>
  <c r="C261" i="2"/>
  <c r="G260" i="2"/>
  <c r="F260" i="2"/>
  <c r="C260" i="2"/>
  <c r="G259" i="2"/>
  <c r="F259" i="2"/>
  <c r="C259" i="2"/>
  <c r="G258" i="2"/>
  <c r="F258" i="2"/>
  <c r="C258" i="2"/>
  <c r="G257" i="2"/>
  <c r="F257" i="2"/>
  <c r="C257" i="2"/>
  <c r="G256" i="2"/>
  <c r="F256" i="2"/>
  <c r="C256" i="2"/>
  <c r="G255" i="2"/>
  <c r="F255" i="2"/>
  <c r="C255" i="2"/>
  <c r="G254" i="2"/>
  <c r="F254" i="2"/>
  <c r="C254" i="2"/>
  <c r="G253" i="2"/>
  <c r="F253" i="2"/>
  <c r="C253" i="2"/>
  <c r="G252" i="2"/>
  <c r="F252" i="2"/>
  <c r="C252" i="2"/>
  <c r="G251" i="2"/>
  <c r="F251" i="2"/>
  <c r="C251" i="2"/>
  <c r="G250" i="2"/>
  <c r="F250" i="2"/>
  <c r="C250" i="2"/>
  <c r="G249" i="2"/>
  <c r="F249" i="2"/>
  <c r="C249" i="2"/>
  <c r="G248" i="2"/>
  <c r="F248" i="2"/>
  <c r="C248" i="2"/>
  <c r="G247" i="2"/>
  <c r="F247" i="2"/>
  <c r="C247" i="2"/>
  <c r="G246" i="2"/>
  <c r="F246" i="2"/>
  <c r="C246" i="2"/>
  <c r="G245" i="2"/>
  <c r="F245" i="2"/>
  <c r="C245" i="2"/>
  <c r="G244" i="2"/>
  <c r="F244" i="2"/>
  <c r="C244" i="2"/>
  <c r="G243" i="2"/>
  <c r="F243" i="2"/>
  <c r="C243" i="2"/>
  <c r="G242" i="2"/>
  <c r="F242" i="2"/>
  <c r="C242" i="2"/>
  <c r="G241" i="2"/>
  <c r="F241" i="2"/>
  <c r="C241" i="2"/>
  <c r="G240" i="2"/>
  <c r="F240" i="2"/>
  <c r="C240" i="2"/>
  <c r="G239" i="2"/>
  <c r="F239" i="2"/>
  <c r="C239" i="2"/>
  <c r="G238" i="2"/>
  <c r="F238" i="2"/>
  <c r="C238" i="2"/>
  <c r="G237" i="2"/>
  <c r="F237" i="2"/>
  <c r="C237" i="2"/>
  <c r="G236" i="2"/>
  <c r="F236" i="2"/>
  <c r="C236" i="2"/>
  <c r="G235" i="2"/>
  <c r="F235" i="2"/>
  <c r="C235" i="2"/>
  <c r="G234" i="2"/>
  <c r="F234" i="2"/>
  <c r="C234" i="2"/>
  <c r="G233" i="2"/>
  <c r="F233" i="2"/>
  <c r="C233" i="2"/>
  <c r="G232" i="2"/>
  <c r="F232" i="2"/>
  <c r="C232" i="2"/>
  <c r="G231" i="2"/>
  <c r="F231" i="2"/>
  <c r="C231" i="2"/>
  <c r="G230" i="2"/>
  <c r="F230" i="2"/>
  <c r="C230" i="2"/>
  <c r="G229" i="2"/>
  <c r="F229" i="2"/>
  <c r="C229" i="2"/>
  <c r="G228" i="2"/>
  <c r="F228" i="2"/>
  <c r="C228" i="2"/>
  <c r="G227" i="2"/>
  <c r="F227" i="2"/>
  <c r="C227" i="2"/>
  <c r="G226" i="2"/>
  <c r="F226" i="2"/>
  <c r="C226" i="2"/>
  <c r="G225" i="2"/>
  <c r="F225" i="2"/>
  <c r="C225" i="2"/>
  <c r="G224" i="2"/>
  <c r="F224" i="2"/>
  <c r="C224" i="2"/>
  <c r="G223" i="2"/>
  <c r="F223" i="2"/>
  <c r="C223" i="2"/>
  <c r="G222" i="2"/>
  <c r="F222" i="2"/>
  <c r="C222" i="2"/>
  <c r="G221" i="2"/>
  <c r="F221" i="2"/>
  <c r="C221" i="2"/>
  <c r="G220" i="2"/>
  <c r="F220" i="2"/>
  <c r="C220" i="2"/>
  <c r="G219" i="2"/>
  <c r="F219" i="2"/>
  <c r="C219" i="2"/>
  <c r="G218" i="2"/>
  <c r="F218" i="2"/>
  <c r="C218" i="2"/>
  <c r="G217" i="2"/>
  <c r="F217" i="2"/>
  <c r="C217" i="2"/>
  <c r="G216" i="2"/>
  <c r="F216" i="2"/>
  <c r="C216" i="2"/>
  <c r="G215" i="2"/>
  <c r="F215" i="2"/>
  <c r="C215" i="2"/>
  <c r="G214" i="2"/>
  <c r="F214" i="2"/>
  <c r="C214" i="2"/>
  <c r="G213" i="2"/>
  <c r="F213" i="2"/>
  <c r="C213" i="2"/>
  <c r="G212" i="2"/>
  <c r="F212" i="2"/>
  <c r="C212" i="2"/>
  <c r="G211" i="2"/>
  <c r="F211" i="2"/>
  <c r="C211" i="2"/>
  <c r="G210" i="2"/>
  <c r="F210" i="2"/>
  <c r="C210" i="2"/>
  <c r="G209" i="2"/>
  <c r="F209" i="2"/>
  <c r="C209" i="2"/>
  <c r="G208" i="2"/>
  <c r="F208" i="2"/>
  <c r="C208" i="2"/>
  <c r="G207" i="2"/>
  <c r="F207" i="2"/>
  <c r="C207" i="2"/>
  <c r="G206" i="2"/>
  <c r="F206" i="2"/>
  <c r="C206" i="2"/>
  <c r="G205" i="2"/>
  <c r="F205" i="2"/>
  <c r="C205" i="2"/>
  <c r="G204" i="2"/>
  <c r="F204" i="2"/>
  <c r="C204" i="2"/>
  <c r="G203" i="2"/>
  <c r="F203" i="2"/>
  <c r="C203" i="2"/>
  <c r="G202" i="2"/>
  <c r="F202" i="2"/>
  <c r="C202" i="2"/>
  <c r="G201" i="2"/>
  <c r="F201" i="2"/>
  <c r="C201" i="2"/>
  <c r="G200" i="2"/>
  <c r="F200" i="2"/>
  <c r="C200" i="2"/>
  <c r="G199" i="2"/>
  <c r="F199" i="2"/>
  <c r="C199" i="2"/>
  <c r="G198" i="2"/>
  <c r="F198" i="2"/>
  <c r="C198" i="2"/>
  <c r="G197" i="2"/>
  <c r="F197" i="2"/>
  <c r="C197" i="2"/>
  <c r="G196" i="2"/>
  <c r="F196" i="2"/>
  <c r="C196" i="2"/>
  <c r="G195" i="2"/>
  <c r="F195" i="2"/>
  <c r="C195" i="2"/>
  <c r="G194" i="2"/>
  <c r="F194" i="2"/>
  <c r="C194" i="2"/>
  <c r="G193" i="2"/>
  <c r="F193" i="2"/>
  <c r="C193" i="2"/>
  <c r="G192" i="2"/>
  <c r="F192" i="2"/>
  <c r="C192" i="2"/>
  <c r="G191" i="2"/>
  <c r="F191" i="2"/>
  <c r="C191" i="2"/>
  <c r="G190" i="2"/>
  <c r="F190" i="2"/>
  <c r="C190" i="2"/>
  <c r="G189" i="2"/>
  <c r="F189" i="2"/>
  <c r="C189" i="2"/>
  <c r="G188" i="2"/>
  <c r="F188" i="2"/>
  <c r="C188" i="2"/>
  <c r="G187" i="2"/>
  <c r="F187" i="2"/>
  <c r="C187" i="2"/>
  <c r="G186" i="2"/>
  <c r="F186" i="2"/>
  <c r="C186" i="2"/>
  <c r="G185" i="2"/>
  <c r="F185" i="2"/>
  <c r="C185" i="2"/>
  <c r="G184" i="2"/>
  <c r="F184" i="2"/>
  <c r="C184" i="2"/>
  <c r="G183" i="2"/>
  <c r="F183" i="2"/>
  <c r="C183" i="2"/>
  <c r="G182" i="2"/>
  <c r="F182" i="2"/>
  <c r="C182" i="2"/>
  <c r="G181" i="2"/>
  <c r="F181" i="2"/>
  <c r="C181" i="2"/>
  <c r="G180" i="2"/>
  <c r="F180" i="2"/>
  <c r="C180" i="2"/>
  <c r="G179" i="2"/>
  <c r="F179" i="2"/>
  <c r="C179" i="2"/>
  <c r="G178" i="2"/>
  <c r="F178" i="2"/>
  <c r="C178" i="2"/>
  <c r="G177" i="2"/>
  <c r="F177" i="2"/>
  <c r="C177" i="2"/>
  <c r="G176" i="2"/>
  <c r="F176" i="2"/>
  <c r="C176" i="2"/>
  <c r="G175" i="2"/>
  <c r="F175" i="2"/>
  <c r="C175" i="2"/>
  <c r="G174" i="2"/>
  <c r="F174" i="2"/>
  <c r="C174" i="2"/>
  <c r="G173" i="2"/>
  <c r="F173" i="2"/>
  <c r="C173" i="2"/>
  <c r="G172" i="2"/>
  <c r="F172" i="2"/>
  <c r="C172" i="2"/>
  <c r="G171" i="2"/>
  <c r="F171" i="2"/>
  <c r="C171" i="2"/>
  <c r="G170" i="2"/>
  <c r="F170" i="2"/>
  <c r="C170" i="2"/>
  <c r="G169" i="2"/>
  <c r="F169" i="2"/>
  <c r="C169" i="2"/>
  <c r="G168" i="2"/>
  <c r="F168" i="2"/>
  <c r="C168" i="2"/>
  <c r="G167" i="2"/>
  <c r="F167" i="2"/>
  <c r="C167" i="2"/>
  <c r="G166" i="2"/>
  <c r="F166" i="2"/>
  <c r="C166" i="2"/>
  <c r="G165" i="2"/>
  <c r="F165" i="2"/>
  <c r="C165" i="2"/>
  <c r="G164" i="2"/>
  <c r="F164" i="2"/>
  <c r="C164" i="2"/>
  <c r="G163" i="2"/>
  <c r="F163" i="2"/>
  <c r="C163" i="2"/>
  <c r="G162" i="2"/>
  <c r="F162" i="2"/>
  <c r="C162" i="2"/>
  <c r="G161" i="2"/>
  <c r="F161" i="2"/>
  <c r="C161" i="2"/>
  <c r="G160" i="2"/>
  <c r="F160" i="2"/>
  <c r="C160" i="2"/>
  <c r="G159" i="2"/>
  <c r="F159" i="2"/>
  <c r="C159" i="2"/>
  <c r="G158" i="2"/>
  <c r="F158" i="2"/>
  <c r="C158" i="2"/>
  <c r="G157" i="2"/>
  <c r="F157" i="2"/>
  <c r="C157" i="2"/>
  <c r="G156" i="2"/>
  <c r="F156" i="2"/>
  <c r="C156" i="2"/>
  <c r="G155" i="2"/>
  <c r="F155" i="2"/>
  <c r="C155" i="2"/>
  <c r="G154" i="2"/>
  <c r="F154" i="2"/>
  <c r="C154" i="2"/>
  <c r="G153" i="2"/>
  <c r="F153" i="2"/>
  <c r="C153" i="2"/>
  <c r="G152" i="2"/>
  <c r="F152" i="2"/>
  <c r="C152" i="2"/>
  <c r="G151" i="2"/>
  <c r="F151" i="2"/>
  <c r="C151" i="2"/>
  <c r="G150" i="2"/>
  <c r="F150" i="2"/>
  <c r="C150" i="2"/>
  <c r="G149" i="2"/>
  <c r="F149" i="2"/>
  <c r="C149" i="2"/>
  <c r="G148" i="2"/>
  <c r="F148" i="2"/>
  <c r="C148" i="2"/>
  <c r="G147" i="2"/>
  <c r="F147" i="2"/>
  <c r="C147" i="2"/>
  <c r="G146" i="2"/>
  <c r="F146" i="2"/>
  <c r="C146" i="2"/>
  <c r="G145" i="2"/>
  <c r="F145" i="2"/>
  <c r="C145" i="2"/>
  <c r="G144" i="2"/>
  <c r="F144" i="2"/>
  <c r="C144" i="2"/>
  <c r="G143" i="2"/>
  <c r="F143" i="2"/>
  <c r="C143" i="2"/>
  <c r="G142" i="2"/>
  <c r="F142" i="2"/>
  <c r="C142" i="2"/>
  <c r="G141" i="2"/>
  <c r="F141" i="2"/>
  <c r="C141" i="2"/>
  <c r="G140" i="2"/>
  <c r="F140" i="2"/>
  <c r="C140" i="2"/>
  <c r="G139" i="2"/>
  <c r="F139" i="2"/>
  <c r="C139" i="2"/>
  <c r="G138" i="2"/>
  <c r="F138" i="2"/>
  <c r="C138" i="2"/>
  <c r="G137" i="2"/>
  <c r="F137" i="2"/>
  <c r="C137" i="2"/>
  <c r="G136" i="2"/>
  <c r="F136" i="2"/>
  <c r="C136" i="2"/>
  <c r="G135" i="2"/>
  <c r="F135" i="2"/>
  <c r="C135" i="2"/>
  <c r="G134" i="2"/>
  <c r="F134" i="2"/>
  <c r="C134" i="2"/>
  <c r="G133" i="2"/>
  <c r="F133" i="2"/>
  <c r="C133" i="2"/>
  <c r="G132" i="2"/>
  <c r="F132" i="2"/>
  <c r="C132" i="2"/>
  <c r="G131" i="2"/>
  <c r="F131" i="2"/>
  <c r="C131" i="2"/>
  <c r="G130" i="2"/>
  <c r="F130" i="2"/>
  <c r="C130" i="2"/>
  <c r="G129" i="2"/>
  <c r="F129" i="2"/>
  <c r="C129" i="2"/>
  <c r="G128" i="2"/>
  <c r="F128" i="2"/>
  <c r="C128" i="2"/>
  <c r="G127" i="2"/>
  <c r="F127" i="2"/>
  <c r="C127" i="2"/>
  <c r="G126" i="2"/>
  <c r="F126" i="2"/>
  <c r="C126" i="2"/>
  <c r="G125" i="2"/>
  <c r="F125" i="2"/>
  <c r="C125" i="2"/>
  <c r="G124" i="2"/>
  <c r="F124" i="2"/>
  <c r="C124" i="2"/>
  <c r="G123" i="2"/>
  <c r="F123" i="2"/>
  <c r="C123" i="2"/>
  <c r="G122" i="2"/>
  <c r="F122" i="2"/>
  <c r="C122" i="2"/>
  <c r="G121" i="2"/>
  <c r="F121" i="2"/>
  <c r="C121" i="2"/>
  <c r="G120" i="2"/>
  <c r="F120" i="2"/>
  <c r="C120" i="2"/>
  <c r="G119" i="2"/>
  <c r="F119" i="2"/>
  <c r="C119" i="2"/>
  <c r="G118" i="2"/>
  <c r="F118" i="2"/>
  <c r="C118" i="2"/>
  <c r="G117" i="2"/>
  <c r="F117" i="2"/>
  <c r="C117" i="2"/>
  <c r="G116" i="2"/>
  <c r="F116" i="2"/>
  <c r="C116" i="2"/>
  <c r="G115" i="2"/>
  <c r="F115" i="2"/>
  <c r="C115" i="2"/>
  <c r="G114" i="2"/>
  <c r="F114" i="2"/>
  <c r="C114" i="2"/>
  <c r="G113" i="2"/>
  <c r="F113" i="2"/>
  <c r="C113" i="2"/>
  <c r="G112" i="2"/>
  <c r="F112" i="2"/>
  <c r="C112" i="2"/>
  <c r="G111" i="2"/>
  <c r="F111" i="2"/>
  <c r="C111" i="2"/>
  <c r="G110" i="2"/>
  <c r="F110" i="2"/>
  <c r="C110" i="2"/>
  <c r="G109" i="2"/>
  <c r="F109" i="2"/>
  <c r="C109" i="2"/>
  <c r="G108" i="2"/>
  <c r="F108" i="2"/>
  <c r="C108" i="2"/>
  <c r="G107" i="2"/>
  <c r="F107" i="2"/>
  <c r="C107" i="2"/>
  <c r="G106" i="2"/>
  <c r="F106" i="2"/>
  <c r="C106" i="2"/>
  <c r="G105" i="2"/>
  <c r="F105" i="2"/>
  <c r="C105" i="2"/>
  <c r="G104" i="2"/>
  <c r="F104" i="2"/>
  <c r="C104" i="2"/>
  <c r="G103" i="2"/>
  <c r="F103" i="2"/>
  <c r="C103" i="2"/>
  <c r="G102" i="2"/>
  <c r="F102" i="2"/>
  <c r="C102" i="2"/>
  <c r="G101" i="2"/>
  <c r="F101" i="2"/>
  <c r="C101" i="2"/>
  <c r="G100" i="2"/>
  <c r="F100" i="2"/>
  <c r="C100" i="2"/>
  <c r="G99" i="2"/>
  <c r="F99" i="2"/>
  <c r="C99" i="2"/>
  <c r="G98" i="2"/>
  <c r="F98" i="2"/>
  <c r="C98" i="2"/>
  <c r="G97" i="2"/>
  <c r="F97" i="2"/>
  <c r="C97" i="2"/>
  <c r="G96" i="2"/>
  <c r="F96" i="2"/>
  <c r="C96" i="2"/>
  <c r="G95" i="2"/>
  <c r="F95" i="2"/>
  <c r="C95" i="2"/>
  <c r="G94" i="2"/>
  <c r="F94" i="2"/>
  <c r="C94" i="2"/>
  <c r="G93" i="2"/>
  <c r="F93" i="2"/>
  <c r="C93" i="2"/>
  <c r="G92" i="2"/>
  <c r="F92" i="2"/>
  <c r="C92" i="2"/>
  <c r="G91" i="2"/>
  <c r="F91" i="2"/>
  <c r="C91" i="2"/>
  <c r="G90" i="2"/>
  <c r="F90" i="2"/>
  <c r="C90" i="2"/>
  <c r="G89" i="2"/>
  <c r="F89" i="2"/>
  <c r="C89" i="2"/>
  <c r="G88" i="2"/>
  <c r="F88" i="2"/>
  <c r="C88" i="2"/>
  <c r="G87" i="2"/>
  <c r="F87" i="2"/>
  <c r="C87" i="2"/>
  <c r="G86" i="2"/>
  <c r="F86" i="2"/>
  <c r="C86" i="2"/>
  <c r="G85" i="2"/>
  <c r="F85" i="2"/>
  <c r="C85" i="2"/>
  <c r="G84" i="2"/>
  <c r="F84" i="2"/>
  <c r="C84" i="2"/>
  <c r="G83" i="2"/>
  <c r="F83" i="2"/>
  <c r="C83" i="2"/>
  <c r="G82" i="2"/>
  <c r="F82" i="2"/>
  <c r="C82" i="2"/>
  <c r="G81" i="2"/>
  <c r="F81" i="2"/>
  <c r="C81" i="2"/>
  <c r="G80" i="2"/>
  <c r="F80" i="2"/>
  <c r="C80" i="2"/>
  <c r="G79" i="2"/>
  <c r="F79" i="2"/>
  <c r="C79" i="2"/>
  <c r="G78" i="2"/>
  <c r="F78" i="2"/>
  <c r="C78" i="2"/>
  <c r="G77" i="2"/>
  <c r="F77" i="2"/>
  <c r="C77" i="2"/>
  <c r="G76" i="2"/>
  <c r="F76" i="2"/>
  <c r="C76" i="2"/>
  <c r="G75" i="2"/>
  <c r="F75" i="2"/>
  <c r="C75" i="2"/>
  <c r="G74" i="2"/>
  <c r="F74" i="2"/>
  <c r="C74" i="2"/>
  <c r="G73" i="2"/>
  <c r="F73" i="2"/>
  <c r="C73" i="2"/>
  <c r="G72" i="2"/>
  <c r="F72" i="2"/>
  <c r="C72" i="2"/>
  <c r="G71" i="2"/>
  <c r="F71" i="2"/>
  <c r="C71" i="2"/>
  <c r="G70" i="2"/>
  <c r="F70" i="2"/>
  <c r="C70" i="2"/>
  <c r="G69" i="2"/>
  <c r="F69" i="2"/>
  <c r="C69" i="2"/>
  <c r="G68" i="2"/>
  <c r="F68" i="2"/>
  <c r="C68" i="2"/>
  <c r="G67" i="2"/>
  <c r="F67" i="2"/>
  <c r="C67" i="2"/>
  <c r="G66" i="2"/>
  <c r="F66" i="2"/>
  <c r="C66" i="2"/>
  <c r="G65" i="2"/>
  <c r="F65" i="2"/>
  <c r="C65" i="2"/>
  <c r="G64" i="2"/>
  <c r="F64" i="2"/>
  <c r="C64" i="2"/>
  <c r="G63" i="2"/>
  <c r="F63" i="2"/>
  <c r="C63" i="2"/>
  <c r="G62" i="2"/>
  <c r="F62" i="2"/>
  <c r="C62" i="2"/>
  <c r="G61" i="2"/>
  <c r="F61" i="2"/>
  <c r="C61" i="2"/>
  <c r="G60" i="2"/>
  <c r="F60" i="2"/>
  <c r="C60" i="2"/>
  <c r="G59" i="2"/>
  <c r="F59" i="2"/>
  <c r="C59" i="2"/>
  <c r="G58" i="2"/>
  <c r="F58" i="2"/>
  <c r="C58" i="2"/>
  <c r="G57" i="2"/>
  <c r="F57" i="2"/>
  <c r="C57" i="2"/>
  <c r="G56" i="2"/>
  <c r="F56" i="2"/>
  <c r="C56" i="2"/>
  <c r="G55" i="2"/>
  <c r="F55" i="2"/>
  <c r="C55" i="2"/>
  <c r="G54" i="2"/>
  <c r="F54" i="2"/>
  <c r="C54" i="2"/>
  <c r="G53" i="2"/>
  <c r="F53" i="2"/>
  <c r="C53" i="2"/>
  <c r="G52" i="2"/>
  <c r="F52" i="2"/>
  <c r="C52" i="2"/>
  <c r="G51" i="2"/>
  <c r="F51" i="2"/>
  <c r="C51" i="2"/>
  <c r="G50" i="2"/>
  <c r="F50" i="2"/>
  <c r="C50" i="2"/>
  <c r="G49" i="2"/>
  <c r="F49" i="2"/>
  <c r="C49" i="2"/>
  <c r="G48" i="2"/>
  <c r="F48" i="2"/>
  <c r="C48" i="2"/>
  <c r="G47" i="2"/>
  <c r="F47" i="2"/>
  <c r="C47" i="2"/>
  <c r="G46" i="2"/>
  <c r="F46" i="2"/>
  <c r="C46" i="2"/>
  <c r="G45" i="2"/>
  <c r="F45" i="2"/>
  <c r="C45" i="2"/>
  <c r="G44" i="2"/>
  <c r="F44" i="2"/>
  <c r="C44" i="2"/>
  <c r="G43" i="2"/>
  <c r="F43" i="2"/>
  <c r="C43" i="2"/>
  <c r="G42" i="2"/>
  <c r="F42" i="2"/>
  <c r="C42" i="2"/>
  <c r="G41" i="2"/>
  <c r="F41" i="2"/>
  <c r="C41" i="2"/>
  <c r="G40" i="2"/>
  <c r="F40" i="2"/>
  <c r="C40" i="2"/>
  <c r="G39" i="2"/>
  <c r="F39" i="2"/>
  <c r="C39" i="2"/>
  <c r="G38" i="2"/>
  <c r="F38" i="2"/>
  <c r="C38" i="2"/>
  <c r="G37" i="2"/>
  <c r="F37" i="2"/>
  <c r="C37" i="2"/>
  <c r="G36" i="2"/>
  <c r="F36" i="2"/>
  <c r="C36" i="2"/>
  <c r="G35" i="2"/>
  <c r="F35" i="2"/>
  <c r="G34" i="2"/>
  <c r="F34" i="2"/>
  <c r="G33" i="2"/>
  <c r="F33" i="2"/>
  <c r="G32" i="2"/>
  <c r="F32" i="2"/>
  <c r="G31" i="2"/>
  <c r="F31" i="2"/>
  <c r="G30" i="2"/>
  <c r="F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F23" i="3" l="1"/>
  <c r="G5" i="3"/>
  <c r="G9" i="2"/>
  <c r="F20" i="3"/>
</calcChain>
</file>

<file path=xl/sharedStrings.xml><?xml version="1.0" encoding="utf-8"?>
<sst xmlns="http://schemas.openxmlformats.org/spreadsheetml/2006/main" count="1203" uniqueCount="414">
  <si>
    <t>WUS-BST-2132 – Einsatzplanung Kabelbereitschaft 2026</t>
  </si>
  <si>
    <t>Juli 2026</t>
  </si>
  <si>
    <t>August 2026</t>
  </si>
  <si>
    <t>September 2026</t>
  </si>
  <si>
    <t>Oktober 2026</t>
  </si>
  <si>
    <t>November 2026</t>
  </si>
  <si>
    <t>Dezember 2026</t>
  </si>
  <si>
    <t>NAME →</t>
  </si>
  <si>
    <t>Sa</t>
  </si>
  <si>
    <t>So</t>
  </si>
  <si>
    <t>Mo</t>
  </si>
  <si>
    <t>Di</t>
  </si>
  <si>
    <t>Mi</t>
  </si>
  <si>
    <t>Do</t>
  </si>
  <si>
    <t>Fr</t>
  </si>
  <si>
    <t>BA 1</t>
  </si>
  <si>
    <t>PS</t>
  </si>
  <si>
    <t>JM</t>
  </si>
  <si>
    <t>PR</t>
  </si>
  <si>
    <t>TG</t>
  </si>
  <si>
    <t>TZ</t>
  </si>
  <si>
    <t>SE</t>
  </si>
  <si>
    <t>KAB2</t>
  </si>
  <si>
    <t>AW</t>
  </si>
  <si>
    <t>SS</t>
  </si>
  <si>
    <t>TS</t>
  </si>
  <si>
    <t>KAB 2</t>
  </si>
  <si>
    <t>BA 2</t>
  </si>
  <si>
    <t>AK</t>
  </si>
  <si>
    <t>SP</t>
  </si>
  <si>
    <t>KAB1</t>
  </si>
  <si>
    <t>IM</t>
  </si>
  <si>
    <t>SL</t>
  </si>
  <si>
    <t>BA 3</t>
  </si>
  <si>
    <t>EM</t>
  </si>
  <si>
    <t>KE</t>
  </si>
  <si>
    <t>PC</t>
  </si>
  <si>
    <t xml:space="preserve">SP </t>
  </si>
  <si>
    <t>BA2 macht auch BA3</t>
  </si>
  <si>
    <t>PR bis 13:00</t>
  </si>
  <si>
    <t>BM</t>
  </si>
  <si>
    <t>MB</t>
  </si>
  <si>
    <t>MI</t>
  </si>
  <si>
    <t>Namensliste – neue Namen unten eintragen, Kürzel wird automatisch erzeugt (Vorname- + Nachname-Initial). Doppelte Kürzel werden rot markiert → dann Kürzel von Hand überschreiben.</t>
  </si>
  <si>
    <t>Nachname</t>
  </si>
  <si>
    <t>Vorname</t>
  </si>
  <si>
    <t>Kürzel</t>
  </si>
  <si>
    <t>Notiz</t>
  </si>
  <si>
    <t>Goscianiak</t>
  </si>
  <si>
    <t>Timo</t>
  </si>
  <si>
    <t>Schymik</t>
  </si>
  <si>
    <t>Peter</t>
  </si>
  <si>
    <t>Vojnkovic</t>
  </si>
  <si>
    <t>Amer</t>
  </si>
  <si>
    <t>Meier</t>
  </si>
  <si>
    <t>Jürgen</t>
  </si>
  <si>
    <t>Auto ehem. Ehmke ohne Werkzeug WS 1091</t>
  </si>
  <si>
    <t>Marsch</t>
  </si>
  <si>
    <t>Christian</t>
  </si>
  <si>
    <t>Kühnhold</t>
  </si>
  <si>
    <t>Dennis</t>
  </si>
  <si>
    <t>Retzlaff</t>
  </si>
  <si>
    <t>Pascal</t>
  </si>
  <si>
    <t>Schechtow</t>
  </si>
  <si>
    <t>Sergej</t>
  </si>
  <si>
    <t>Markitin</t>
  </si>
  <si>
    <t>Igor</t>
  </si>
  <si>
    <t>Cvrlje</t>
  </si>
  <si>
    <t>Ivan</t>
  </si>
  <si>
    <t>Stempel</t>
  </si>
  <si>
    <t>Zöller</t>
  </si>
  <si>
    <t>Timon</t>
  </si>
  <si>
    <t>Seebold</t>
  </si>
  <si>
    <t>Sebastian</t>
  </si>
  <si>
    <t>Klimakov</t>
  </si>
  <si>
    <t>Artem</t>
  </si>
  <si>
    <t>Mujezinovic</t>
  </si>
  <si>
    <t>Elvin</t>
  </si>
  <si>
    <t>Hallmann</t>
  </si>
  <si>
    <t>Karaeli</t>
  </si>
  <si>
    <t>Emre</t>
  </si>
  <si>
    <t>Czernik</t>
  </si>
  <si>
    <t>Lesnikov</t>
  </si>
  <si>
    <t>Woodfin</t>
  </si>
  <si>
    <t>Andreas</t>
  </si>
  <si>
    <t>KAB 1</t>
  </si>
  <si>
    <t>Srokowski</t>
  </si>
  <si>
    <t>Pawel</t>
  </si>
  <si>
    <t>Auto ehm. Gümüs</t>
  </si>
  <si>
    <t>Becker</t>
  </si>
  <si>
    <t>Maurice</t>
  </si>
  <si>
    <t>Breuer</t>
  </si>
  <si>
    <t>Markus</t>
  </si>
  <si>
    <t>Maksimenko</t>
  </si>
  <si>
    <t>Ihor</t>
  </si>
  <si>
    <t>Kabelbereitschaft – Bauabschnitt 1</t>
  </si>
  <si>
    <t>Erledigt = „Ja“ → Zeile grün  |  In Klärung = „✔“ → Zeile gelb  |  Tag, Funktion, Telefonnummer automatisch  |  „Anzahl Kabel“ &gt; 1 eintragen und Skript „Kabel-Unterzeilen erzeugen“ (Register Automatisieren) ausführen → Unterzeilen a/b/c werden eingefügt und auf-/zuklappbar gruppiert  |  Streckenkilometer ist Pflichtfeld  |  Blaue Einträge = aus Postfach</t>
  </si>
  <si>
    <t>Meldung</t>
  </si>
  <si>
    <t>Bearbeitung</t>
  </si>
  <si>
    <t>Lfd. Nr.</t>
  </si>
  <si>
    <t>Datum</t>
  </si>
  <si>
    <t>Tag</t>
  </si>
  <si>
    <t>Uhrzeit</t>
  </si>
  <si>
    <t>Anrufender</t>
  </si>
  <si>
    <t>Funktion des Anrufenden</t>
  </si>
  <si>
    <t>Telefonnummer</t>
  </si>
  <si>
    <t>Streckennummer</t>
  </si>
  <si>
    <t>Ortschaft</t>
  </si>
  <si>
    <t>Anlage (optional)</t>
  </si>
  <si>
    <t>Streckenkilometer</t>
  </si>
  <si>
    <t>Anzahl Kabel</t>
  </si>
  <si>
    <t>Annahme Datum</t>
  </si>
  <si>
    <t>Annahme Uhrzeit</t>
  </si>
  <si>
    <t>Mitarbeiter</t>
  </si>
  <si>
    <t>Gewerk</t>
  </si>
  <si>
    <t>Kabeltyp</t>
  </si>
  <si>
    <t>Sachstand</t>
  </si>
  <si>
    <t>Notwendige Maßnahmen</t>
  </si>
  <si>
    <t>Erledigt (Ja/Nein)</t>
  </si>
  <si>
    <t>In Klärung (✔)</t>
  </si>
  <si>
    <t>Kräner</t>
  </si>
  <si>
    <t>BÜW</t>
  </si>
  <si>
    <t>015750662038</t>
  </si>
  <si>
    <t>Rüdesheim</t>
  </si>
  <si>
    <t>BÜ 94</t>
  </si>
  <si>
    <t>Gerissene Kabel, Schadstelle muss aufgenommen werden</t>
  </si>
  <si>
    <t>J.Meier</t>
  </si>
  <si>
    <t xml:space="preserve">Kabel aufgenommen </t>
  </si>
  <si>
    <t>Proversorisch verschlossen</t>
  </si>
  <si>
    <t>✔</t>
  </si>
  <si>
    <t>Pachonik, Leon</t>
  </si>
  <si>
    <t>01522712662</t>
  </si>
  <si>
    <t>TK Kabel gerissen</t>
  </si>
  <si>
    <t>J. Meier</t>
  </si>
  <si>
    <t>DEFEKT 10 adriges TK</t>
  </si>
  <si>
    <t>Kabelschaden instandgesetzt</t>
  </si>
  <si>
    <t>Fr. Esten</t>
  </si>
  <si>
    <t>015758316071</t>
  </si>
  <si>
    <t>Biebrich</t>
  </si>
  <si>
    <t>LSW</t>
  </si>
  <si>
    <t>39,4-39,2</t>
  </si>
  <si>
    <t>Kabelschaden ca. 0.5 m von LSW entfernt, ggf weitere Schadstellen</t>
  </si>
  <si>
    <t>Altes Ölkabel, 50er Jahre, wohlmöglich nicht in Betrieb, weiteres Jkabel</t>
  </si>
  <si>
    <t>Kabel nicht in Betrieb</t>
  </si>
  <si>
    <t>Kabel beschädigt, vermutlich EM</t>
  </si>
  <si>
    <t>3 Schadstellen beseitigt.</t>
  </si>
  <si>
    <t>Kabel gemufft</t>
  </si>
  <si>
    <t>Kabel beschädigt, alt LST 130-150 adrig</t>
  </si>
  <si>
    <t>Mit BÜW Leon Pachonik befundet. Altes Kabel</t>
  </si>
  <si>
    <t>keine weitere Anwendung</t>
  </si>
  <si>
    <t>Altinos Emre</t>
  </si>
  <si>
    <t>015224173988</t>
  </si>
  <si>
    <t>Niederwalluf</t>
  </si>
  <si>
    <t xml:space="preserve">Kabel sollte lediglich verschwenkt werden, </t>
  </si>
  <si>
    <t>2x Kabel verschwenkt, damit es nicht beschädigt wird</t>
  </si>
  <si>
    <t>erledigt</t>
  </si>
  <si>
    <t>Ja</t>
  </si>
  <si>
    <t>7a</t>
  </si>
  <si>
    <t>Fadime Esme</t>
  </si>
  <si>
    <t>LBÜW</t>
  </si>
  <si>
    <t>01015758316071</t>
  </si>
  <si>
    <t>39.01-39.02</t>
  </si>
  <si>
    <t>Fund von 2 Kabeln, Foto geschickt</t>
  </si>
  <si>
    <t>7b</t>
  </si>
  <si>
    <t>Müller</t>
  </si>
  <si>
    <t>0171/3309584</t>
  </si>
  <si>
    <t>39.00</t>
  </si>
  <si>
    <t xml:space="preserve">Kabelvorgefunden </t>
  </si>
  <si>
    <t>AZ Ausbauen 345 II</t>
  </si>
  <si>
    <t>AZ ausbauen</t>
  </si>
  <si>
    <t>AZ ausgebaut</t>
  </si>
  <si>
    <t>Eltville</t>
  </si>
  <si>
    <t>Kabel von einem Signal</t>
  </si>
  <si>
    <t xml:space="preserve">Tim </t>
  </si>
  <si>
    <t>Geschnitten freigabe ALV 28.07.26</t>
  </si>
  <si>
    <t>Erledigt</t>
  </si>
  <si>
    <t>Fadime Esne</t>
  </si>
  <si>
    <t>+4915758316071</t>
  </si>
  <si>
    <t xml:space="preserve">Kabel freigelegt nicht beschädigt </t>
  </si>
  <si>
    <t>Kabel freigelegt nicht beschädigt  unter der Bücke</t>
  </si>
  <si>
    <t>13a</t>
  </si>
  <si>
    <t>Leon Pachonik</t>
  </si>
  <si>
    <t>+49152333533366</t>
  </si>
  <si>
    <t>5 Kabel freigelegt Prüfen 1 Kabel Kunststoff</t>
  </si>
  <si>
    <t>Kabel gehören nicht der DB AP: +4916097402441 Hicham Mountij</t>
  </si>
  <si>
    <t>13b</t>
  </si>
  <si>
    <t>Unbekannt</t>
  </si>
  <si>
    <t>Nein</t>
  </si>
  <si>
    <t>13c</t>
  </si>
  <si>
    <t>13d</t>
  </si>
  <si>
    <t>13e</t>
  </si>
  <si>
    <t>Natan Pernal</t>
  </si>
  <si>
    <t>+4915233326507</t>
  </si>
  <si>
    <t>2 Kabel prüfen Leon koordiniert</t>
  </si>
  <si>
    <t>04.08. Beide Kabel geschnitten durch Günter Zimmermann</t>
  </si>
  <si>
    <t>BÜ PO 93</t>
  </si>
  <si>
    <t>3 Signalkabel zu klären</t>
  </si>
  <si>
    <t>Alle kabel geschnitten durch Günter Zimmermann</t>
  </si>
  <si>
    <t>1 signalkabel gefunden</t>
  </si>
  <si>
    <t>4 Kabel gefunden</t>
  </si>
  <si>
    <t>4 Kabel gefenstert und wieder verschlossen</t>
  </si>
  <si>
    <t>Kabel aus PZB Verteil gerissen</t>
  </si>
  <si>
    <t>Muss erneuert werden Verteiler Defekt</t>
  </si>
  <si>
    <t>Kabel gefunden</t>
  </si>
  <si>
    <t>Kabel gefenstert und wieder geschlossen</t>
  </si>
  <si>
    <t>Kabel gefenstert und verschlossen</t>
  </si>
  <si>
    <t>zwei Kabel gefunden</t>
  </si>
  <si>
    <t>Kabel geschnitten durch ALV</t>
  </si>
  <si>
    <t>Ein kabel gefunden und gefenstert TK-Kabel papier</t>
  </si>
  <si>
    <t>Kabel prov. Geschlossen</t>
  </si>
  <si>
    <t>Hattenheim</t>
  </si>
  <si>
    <t>Mast53/35</t>
  </si>
  <si>
    <t>Philipp Langer</t>
  </si>
  <si>
    <t>örtl. LST</t>
  </si>
  <si>
    <t>015115544100</t>
  </si>
  <si>
    <t>vsl. alte Kabel im Weg bei PSS Einbau</t>
  </si>
  <si>
    <t>Fenster in 5 Kabel geschnitten, Prov geschlossen, Klärungsbedarf 50Hz, TK</t>
  </si>
  <si>
    <t>in Klärung</t>
  </si>
  <si>
    <t>Schierstein</t>
  </si>
  <si>
    <t>bei Mast 42/13</t>
  </si>
  <si>
    <t>Kabelschaden</t>
  </si>
  <si>
    <t>Gl.1</t>
  </si>
  <si>
    <t>Kabelschaden bei Mast 54/0</t>
  </si>
  <si>
    <t>Kabelbereitschaft – Bauabschnitt 2</t>
  </si>
  <si>
    <t>Nasser</t>
  </si>
  <si>
    <t>0163/7837970</t>
  </si>
  <si>
    <t>Grembach</t>
  </si>
  <si>
    <t>EÜ</t>
  </si>
  <si>
    <t>50_Hz Kabel, Email Meldung 19:03</t>
  </si>
  <si>
    <t>Stelle nicht gefunden</t>
  </si>
  <si>
    <t>Kleinwaechter</t>
  </si>
  <si>
    <t>89.3-102</t>
  </si>
  <si>
    <t xml:space="preserve">diverese Kabel beschädigt die rausgerissen wurden </t>
  </si>
  <si>
    <t>Diverse Kabel instandgesetzt</t>
  </si>
  <si>
    <t>erenute Anfrage, 50_Hz Kabel, Email Meldung 19:03</t>
  </si>
  <si>
    <t>Stelle gefunden. Grube zu</t>
  </si>
  <si>
    <t>Klewitz</t>
  </si>
  <si>
    <t>0176/84839477</t>
  </si>
  <si>
    <t>Oberlahnstein</t>
  </si>
  <si>
    <t>Bahnsteig</t>
  </si>
  <si>
    <t>Diverse Kabel</t>
  </si>
  <si>
    <t>Akbabah</t>
  </si>
  <si>
    <t>BÜZ</t>
  </si>
  <si>
    <t>Sherzad</t>
  </si>
  <si>
    <t>015116361122</t>
  </si>
  <si>
    <t>Diverse Kabel zur Identifikation</t>
  </si>
  <si>
    <t>Kabel identifziert</t>
  </si>
  <si>
    <t>BÜW-Kabel</t>
  </si>
  <si>
    <t>+49 17684839477</t>
  </si>
  <si>
    <t>Diverse Kabel identifizieren</t>
  </si>
  <si>
    <t>Kabel gefenstert und wieder Verschlossen</t>
  </si>
  <si>
    <t>Kabelfund, Zustimmung zum Schneiden angefragt (Schneideprotokoll an alle ALV: LST, TK, OLA, 50Hz). Protokoll: unbekannte Kabel, erdverlegt r.d.B.</t>
  </si>
  <si>
    <t>Zustimmungen liegen vor: W&amp;S 22.07., LST (Baulig) 23.07., OLA (Jakobs) 23.07.</t>
  </si>
  <si>
    <t>St. Goarshausen</t>
  </si>
  <si>
    <t>Kabelfund, Zustimmung zum Schneiden angefragt (Schneideprotokoll an alle ALV: LST, TK, OLA, 50Hz). Protokoll: unbekanntes Kabel, l.d.B. hinter dem Bahnsteig.</t>
  </si>
  <si>
    <t>OLA (Jakobs) unterschrieben 27.07.</t>
  </si>
  <si>
    <t>Kabelfund, Zustimmung zum Schneiden angefragt (Schneideprotokoll an alle ALV: LST, TK, OLA, 50Hz). Protokoll: unbekanntes Kabel, l.d.B.</t>
  </si>
  <si>
    <t>OLA 27.07.: 2x OSE-Steuerkabel Mastschalter 3+4 betroffen, Kabeltrassen sichern und aus dem Baufeld verlegen</t>
  </si>
  <si>
    <t>Kestert</t>
  </si>
  <si>
    <t>Kabelfund, Zustimmung zum Schneiden angefragt (Schneideprotokoll an alle ALV: LST, TK, OLA, 50Hz). Protokoll: unbekannte Kabel im Schacht l.d.B., queren in den Schacht zwischen den Gleisen; LWL quert bis zum Schacht im Bahnsteig r.d.B.</t>
  </si>
  <si>
    <t>OLA 27.07.: möglicherweise Kabel zur OSE-Unterstation betroffen</t>
  </si>
  <si>
    <t>Kabelfund, Zustimmung zum Schneiden angefragt (Schneideprotokoll an alle ALV: LST, TK, OLA, 50Hz). Protokoll: unbekanntes Kabel, r.d.B.</t>
  </si>
  <si>
    <t>OLA 27.07.: 4x OSE-Steuerkabel Mastschalter 3, 4, 5 + Wandler, 8, 401, 402, 508 betroffen; Trassen sichern und verlegen</t>
  </si>
  <si>
    <t>OLA 28.07.: 2x OSE-Steuerkabel Mastschalter 3+4 betroffen; Trassen sichern und verlegen</t>
  </si>
  <si>
    <t>Klewitz, Christian</t>
  </si>
  <si>
    <t>Kabelfund rechts neben der Bahn Prüfen</t>
  </si>
  <si>
    <t>Kabel gefenstert und wieder Verschlossen TK Kabel</t>
  </si>
  <si>
    <t>Kabelfund Prüfen</t>
  </si>
  <si>
    <t>Kabel gefenstert und wieder Verschlossen LST Kabel</t>
  </si>
  <si>
    <t>Kabel gefenstert und wieder Verschlossen 50 Kabel</t>
  </si>
  <si>
    <t>Grenbach</t>
  </si>
  <si>
    <t>5 Kabelfunde EÜ Grenbach, alle r.d.B. – 5 Schneideprotokolle: EZ OSE 020-1 (NYY-O 10x2,5), EZ OSE 010 (NYY-O 10x2,5), EZ OSE 020-2 (NYY-O 10x2,5), EZ OSE 050 (NYY-O 14x2,5), ESTW-W3 (ST 6x2x0,6). Zustimmung zum Schneiden angefragt.</t>
  </si>
  <si>
    <t>OLA 05.08.: OSE-Steuerkabel Masttrennschalter + Steuerkabel WHZ W3 betroffen; Trassen sichern und verlegen</t>
  </si>
  <si>
    <t>Filsen</t>
  </si>
  <si>
    <t>Kabelfund, Zustimmung zum Schneiden angefragt (Schneideprotokoll an alle ALV: LST, TK, OLA, 50Hz). Protokoll: unbekanntes Kabel, r.d.B. (VST Filsen Gleis 1, Bergseite).</t>
  </si>
  <si>
    <t>OLA (Jakobs) unterschrieben 05.08.</t>
  </si>
  <si>
    <t>Kamp-Bornhofen</t>
  </si>
  <si>
    <t>OFFEN – Erinnerung Klewitz 10.08.: Rückmeldung Stegemann/Fromm/Jakobs fehlt noch, bislang nur LST</t>
  </si>
  <si>
    <t>Erneuter Kabelfund (lt. Protokoll km 109,12), Zustimmung zum Schneiden angefragt. Protokoll: unbekanntes Kabel.</t>
  </si>
  <si>
    <t>05.08.: zusätzliches Fenster geschnitten, Rückmeldung dringend angefragt</t>
  </si>
  <si>
    <t>Braubach</t>
  </si>
  <si>
    <t>Kabelfund, Zustimmung zum Schneiden angefragt (Schneideprotokoll an alle ALV: LST, TK, OLA, 50Hz). Protokoll: unbekanntes Kabel, l.d.B. hinter der Brücke.</t>
  </si>
  <si>
    <t>Unbekannte Kabel gefunden, Mithilfe zur Identifikation angefragt. 2 Protokolle: TK-Kabel 700 (27x1,4) sowie unbekanntes Kabel, beide l.d.B. im Kabelschacht.</t>
  </si>
  <si>
    <t>Kabelbereitschaft – Bauabschnitt 3</t>
  </si>
  <si>
    <t>Baulich</t>
  </si>
  <si>
    <t>ALV</t>
  </si>
  <si>
    <t>Niederlahnsteine</t>
  </si>
  <si>
    <t>W2</t>
  </si>
  <si>
    <t>A20x1x0,9</t>
  </si>
  <si>
    <t>J_ Meier</t>
  </si>
  <si>
    <t>erldigt. Kabel aufgelegt</t>
  </si>
  <si>
    <t>Gl. 4-5</t>
  </si>
  <si>
    <t>Kabel beschädigt durch LW, FDL hat Störung</t>
  </si>
  <si>
    <t>3adriges Kabel alt</t>
  </si>
  <si>
    <t>015123297056</t>
  </si>
  <si>
    <t>Lahn</t>
  </si>
  <si>
    <t>Strecke</t>
  </si>
  <si>
    <t>3 Kabel beschädigt. Auswirkung FDL. Befehl</t>
  </si>
  <si>
    <t>Igor M</t>
  </si>
  <si>
    <t xml:space="preserve">1x Schutzmuffe 1x Verbindungsmuffe 20er, 1TK </t>
  </si>
  <si>
    <t>UZUM</t>
  </si>
  <si>
    <t>+4915112259736</t>
  </si>
  <si>
    <t xml:space="preserve">Ein kabel ist im Weg zur erstellung der PSS </t>
  </si>
  <si>
    <t>Geschnitten altes Kabel</t>
  </si>
  <si>
    <t>Protokoll Fehlt mündliche zustimmung Baulig</t>
  </si>
  <si>
    <t>Klappert</t>
  </si>
  <si>
    <t>+4915112259778</t>
  </si>
  <si>
    <t>Sia6</t>
  </si>
  <si>
    <t>Kabel im Weg für Fundament Sigausleger</t>
  </si>
  <si>
    <t>10 Kabel gefenstert und geschnitten nach Rücksprache Klewenz</t>
  </si>
  <si>
    <t>Kabel geschnitten</t>
  </si>
  <si>
    <t>Theo</t>
  </si>
  <si>
    <t>BÜW LSW</t>
  </si>
  <si>
    <t>+4915233305508</t>
  </si>
  <si>
    <t>Bendorf</t>
  </si>
  <si>
    <t>Kabel beschädigt durch LW</t>
  </si>
  <si>
    <t>Retzlaw</t>
  </si>
  <si>
    <t>BZL RR BA3</t>
  </si>
  <si>
    <t>+4915123297056</t>
  </si>
  <si>
    <t>Neuwied</t>
  </si>
  <si>
    <t>KNE</t>
  </si>
  <si>
    <t>Kabelschaden zw. Gl 013 und Gl 064 3m hinter R64</t>
  </si>
  <si>
    <t xml:space="preserve">Altkabel keine ausfälle im STW geschnitten 2x </t>
  </si>
  <si>
    <t>Aslihan Cüccam</t>
  </si>
  <si>
    <t>BÜW OB</t>
  </si>
  <si>
    <t>+4915112259723</t>
  </si>
  <si>
    <t>DKW 56</t>
  </si>
  <si>
    <t>km 136,250</t>
  </si>
  <si>
    <t>Energiekabel gerissen 4*10²</t>
  </si>
  <si>
    <t>Kabel gemufft 6m eingespleist</t>
  </si>
  <si>
    <t>EW 64</t>
  </si>
  <si>
    <t>km 136,2</t>
  </si>
  <si>
    <t>Erdung und Weichheizungsverteiler def.</t>
  </si>
  <si>
    <t>Verteiler und Erdung muss erneuert werden durch AN Bau</t>
  </si>
  <si>
    <t>km 137,0</t>
  </si>
  <si>
    <t>Kabel bei Rahmrohrgründung gefunden</t>
  </si>
  <si>
    <t xml:space="preserve">Altkabel keine ausfälle im STW geschnitten 2x  Stofisoliert </t>
  </si>
  <si>
    <t>KO-ehrenbreitstein</t>
  </si>
  <si>
    <t>Rohrtrasse gefunden mit Kabeln</t>
  </si>
  <si>
    <t>Kabeltrasse beim Eintreffen geschnitten, anordnung durch BÜW  Norman Schacher Tel: 01733915685 Baufeldfreimachung im vorfeld erfolgt</t>
  </si>
  <si>
    <t>W27</t>
  </si>
  <si>
    <t>Kabel provesorisch repariert bitte ordentlich Reparieren</t>
  </si>
  <si>
    <t>stempel</t>
  </si>
  <si>
    <t>Kabel ordnungsgemäß gemufft</t>
  </si>
  <si>
    <t>W45</t>
  </si>
  <si>
    <t xml:space="preserve">Weiche wurde aufgefahren </t>
  </si>
  <si>
    <t xml:space="preserve">Weiche wird überprüft freigabe von BÜW OD befahrbar </t>
  </si>
  <si>
    <t>BLZ BA3 Eckert</t>
  </si>
  <si>
    <t>Sia27</t>
  </si>
  <si>
    <t>Kabel im Weg für Fundament Signalausleger</t>
  </si>
  <si>
    <t>3 TK Kabel gefenstert, prov. Geschlossen</t>
  </si>
  <si>
    <t xml:space="preserve">BLZ BA3 </t>
  </si>
  <si>
    <t>Niederlahnstein</t>
  </si>
  <si>
    <t>Gl.106</t>
  </si>
  <si>
    <t>Bei Baggerarbeiten Kabel beschädigt</t>
  </si>
  <si>
    <t>Sipla in Klärung</t>
  </si>
  <si>
    <t>BLZ BA3 Graule</t>
  </si>
  <si>
    <t>r.d.Bahn</t>
  </si>
  <si>
    <t>Bagger, Kabel Beschädigung</t>
  </si>
  <si>
    <t>SKV8/20 zestört, Kabel prov. eingeführt und aufgelegt</t>
  </si>
  <si>
    <t>BLZ BA3 Kalchreuter</t>
  </si>
  <si>
    <t>Gl.207</t>
  </si>
  <si>
    <t>Kabel bei Kabelkanal setzen beschädigt</t>
  </si>
  <si>
    <t>SKV8/20 zestört, beide Kabel bereits geschnitten, Kabel und 500Hz Magnet fehlen bereits</t>
  </si>
  <si>
    <t>l.d.Bahn</t>
  </si>
  <si>
    <t>Schadstelle kann nicht gefunden werden, Schadstelle verfüllt</t>
  </si>
  <si>
    <t>BLZ BA3 Gebel-Marloth</t>
  </si>
  <si>
    <t>Gl.8</t>
  </si>
  <si>
    <t>bei Aushubarbeiten im Gl. 8 ein Kabel beschädigt</t>
  </si>
  <si>
    <t>50Hz Schutzmuffe montiert</t>
  </si>
  <si>
    <t>Ansprechpartner</t>
  </si>
  <si>
    <t>Neue Ansprechpartner hier eintragen – sie erscheinen automatisch als Auswahl im Feld „Anrufender“ der BA-Blätter; Funktion und Telefonnummer werden dort automatisch übernommen. Freitext bleibt möglich.</t>
  </si>
  <si>
    <t>Name</t>
  </si>
  <si>
    <t>BA</t>
  </si>
  <si>
    <t>Anzeigename (automatisch)</t>
  </si>
  <si>
    <t>Funktion</t>
  </si>
  <si>
    <t>Esen</t>
  </si>
  <si>
    <t>Fadime</t>
  </si>
  <si>
    <t>Altinos</t>
  </si>
  <si>
    <t>Pachonik</t>
  </si>
  <si>
    <t>Leon</t>
  </si>
  <si>
    <t>Pernal</t>
  </si>
  <si>
    <t>Natan</t>
  </si>
  <si>
    <t>Langer</t>
  </si>
  <si>
    <t>Philipp</t>
  </si>
  <si>
    <t>015560701049</t>
  </si>
  <si>
    <t>Baulig</t>
  </si>
  <si>
    <t>015157940927</t>
  </si>
  <si>
    <t>ALV LST</t>
  </si>
  <si>
    <t>Uzum</t>
  </si>
  <si>
    <t>(Leitstelle)</t>
  </si>
  <si>
    <t>BÜW (Leitstelle)</t>
  </si>
  <si>
    <t>Cüccam</t>
  </si>
  <si>
    <t>Aslihan</t>
  </si>
  <si>
    <t>Eckert</t>
  </si>
  <si>
    <t>Graule</t>
  </si>
  <si>
    <t>Kalchreuter</t>
  </si>
  <si>
    <t>Gebel-Marloth</t>
  </si>
  <si>
    <t>Streckennummern je Bauabschnitt</t>
  </si>
  <si>
    <t>Je Bauabschnitt Streckennummer und Verlauf (von – nach) eintragen. Die Nummern erscheinen automatisch als Dropdown im Feld „Streckennummer“ des passenden BA-Blatts.</t>
  </si>
  <si>
    <t>Nummer</t>
  </si>
  <si>
    <t>Verlauf (von – nach)</t>
  </si>
  <si>
    <t>Wiesbaden Ost – Niederlahnstein (rechte Rheinstrecke Süd); km 37,8 – 125,7 (Kilometrierung ab Frankfurt (M) Hbf) | Rüdesheim ≈ km 65, Kestert ≈ 100</t>
  </si>
  <si>
    <t>Mülheim-Speldorf – Niederlahnstein (rechte Rheinstrecke Nord); km 0,95 – 154,68 | Köln-Kalk Nord ≈ km 63, Troisdorf ≈ 81,2, Neuwied ≈ 135,8</t>
  </si>
  <si>
    <t>Wetzlar – Koblenz Hbf (Lahntalbahn); km 0,0 (Wetzlar) – 103,7 (Koblenz Hbf) | Niederlahnstein ≈ km 99–100</t>
  </si>
  <si>
    <t>Neuwied – Koblenz Mosel Gbf (über Urmitzer Rheinbrücke); km 0,08 – 15,37</t>
  </si>
  <si>
    <t>Gewerke &amp; Kabeltypen</t>
  </si>
  <si>
    <t>Gewerke: Einzelwerte und alle Zweier-/Dreier-Kombinationen sind vorgeneriert – Mehrfachnennung damit per Einfachklick, ganz ohne Makro. Kabeltypen: Einzelwerte in Spalte C eintragen; gewünschte Kombinationen ebenfalls als eigene Zeile anlegen (z. B. „Typ A, Typ B“). Neue Gewerke unten ergänzen – für neue Kombinationen die gewünschte Kombi als weitere Zeile eintragen.</t>
  </si>
  <si>
    <t>50 Hz</t>
  </si>
  <si>
    <t>LST</t>
  </si>
  <si>
    <t>TK</t>
  </si>
  <si>
    <t>OSE</t>
  </si>
  <si>
    <t>LWL-LST</t>
  </si>
  <si>
    <t>LWL-TK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</si>
</sst>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h:mm"/>
    <numFmt numFmtId="166" formatCode="0.0##"/>
    <numFmt numFmtId="167" formatCode="yyyy\-mm\-dd\ h:mm:ss"/>
    <numFmt numFmtId="168" formatCode="dd\.mm\."/>
  </numFmts>
  <fonts count="12">
    <font>
      <sz val="11"/>
      <color theme="1"/>
      <name val="Aptos Narrow"/>
      <family val="2"/>
      <charset val="1"/>
    </font>
    <font>
      <b/>
      <sz val="14"/>
      <name val="Aptos Narrow"/>
      <charset val="1"/>
    </font>
    <font>
      <i/>
      <sz val="10"/>
      <color rgb="FF595959"/>
      <name val="Aptos Narrow"/>
      <charset val="1"/>
    </font>
    <font>
      <b/>
      <sz val="11"/>
      <name val="Aptos Narrow"/>
      <charset val="1"/>
    </font>
    <font>
      <b/>
      <sz val="13"/>
      <name val="Aptos Narrow"/>
      <charset val="1"/>
    </font>
    <font>
      <i/>
      <sz val="9"/>
      <color rgb="FF595959"/>
      <name val="Aptos Narrow"/>
      <charset val="1"/>
    </font>
    <font>
      <b/>
      <sz val="12"/>
      <name val="Aptos Narrow"/>
      <charset val="1"/>
    </font>
    <font>
      <b/>
      <sz val="11"/>
      <color rgb="FFFFFFFF"/>
      <name val="Aptos Narrow"/>
      <charset val="1"/>
    </font>
    <font>
      <b/>
      <sz val="9"/>
      <name val="Aptos Narrow"/>
      <charset val="1"/>
    </font>
    <font>
      <b/>
      <sz val="10"/>
      <name val="Aptos Narrow"/>
      <charset val="1"/>
    </font>
    <font>
      <sz val="9"/>
      <color rgb="FF595959"/>
      <name val="Aptos Narrow"/>
      <charset val="1"/>
    </font>
    <font>
      <sz val="1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3E3E3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3E3E3"/>
      </patternFill>
    </fill>
    <fill>
      <patternFill patternType="solid">
        <fgColor rgb="FFFFF2CC"/>
        <bgColor rgb="FFFCE4D6"/>
      </patternFill>
    </fill>
    <fill>
      <patternFill patternType="solid">
        <fgColor rgb="FF8EAADB"/>
        <bgColor rgb="FF969696"/>
      </patternFill>
    </fill>
    <fill>
      <patternFill patternType="solid">
        <fgColor rgb="FFE3E3E3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2" xfId="0" applyNumberFormat="1" applyBorder="1" applyAlignment="1">
      <alignment vertical="top"/>
    </xf>
    <xf numFmtId="167" fontId="0" fillId="0" borderId="1" xfId="0" applyNumberFormat="1" applyBorder="1" applyAlignment="1">
      <alignment vertical="top"/>
    </xf>
    <xf numFmtId="0" fontId="4" fillId="0" borderId="0" xfId="0" applyFont="1"/>
    <xf numFmtId="0" fontId="5" fillId="0" borderId="0" xfId="0" applyFont="1"/>
    <xf numFmtId="0" fontId="3" fillId="2" borderId="1" xfId="0" applyFont="1" applyFill="1" applyBorder="1"/>
    <xf numFmtId="0" fontId="0" fillId="0" borderId="1" xfId="0" applyBorder="1"/>
    <xf numFmtId="49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0" xfId="0" applyFont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0" borderId="0" xfId="0" applyFont="1"/>
    <xf numFmtId="168" fontId="9" fillId="8" borderId="1" xfId="0" applyNumberFormat="1" applyFont="1" applyFill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</cellXfs>
  <cellStyles count="1">
    <cellStyle name="Standard" xfId="0" builtinId="0"/>
  </cellStyles>
  <dxfs count="13"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E3E3E3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</xdr:row>
      <xdr:rowOff>76200</xdr:rowOff>
    </xdr:from>
    <xdr:to>
      <xdr:col>12</xdr:col>
      <xdr:colOff>2822575</xdr:colOff>
      <xdr:row>2</xdr:row>
      <xdr:rowOff>177800</xdr:rowOff>
    </xdr:to>
    <xdr:sp macro="" textlink="">
      <xdr:nvSpPr>
        <xdr:cNvPr id="5" name="Rechteck: abgerundete Ecken 1">
          <a:extLst>
            <a:ext uri="{FF2B5EF4-FFF2-40B4-BE49-F238E27FC236}">
              <a16:creationId xmlns:a16="http://schemas.microsoft.com/office/drawing/2014/main" id="{2556945C-1169-4985-8FD9-322318C6C4B5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3dXN0ZWNobmlrLW15LnNoYXJlcG9pbnQuY29tLzp1Oi9nL3BlcnNvbmFsL2t1ZWhuaG9sZF93dXMtdGVjaG5pa19jb20vSVFBUTZMZGk2YmZxUUpkZzZmc0lRbDZTQWZuLUVFYjJUQlN0N1JkX21rMjJPb2s&quot;}"/>
            </a:ext>
          </a:extLst>
        </xdr:cNvPr>
        <xdr:cNvSpPr/>
      </xdr:nvSpPr>
      <xdr:spPr>
        <a:xfrm>
          <a:off x="9591675" y="295275"/>
          <a:ext cx="2565400" cy="292100"/>
        </a:xfrm>
        <a:prstGeom prst="roundRect">
          <a:avLst/>
        </a:prstGeom>
        <a:solidFill>
          <a:srgbClr val="107C41"/>
        </a:solidFill>
        <a:ln w="19050" cap="flat" cmpd="sng" algn="ctr"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/>
            <a:t>Kabelunterzeilen anlegen ausführen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</xdr:row>
      <xdr:rowOff>76200</xdr:rowOff>
    </xdr:from>
    <xdr:to>
      <xdr:col>12</xdr:col>
      <xdr:colOff>2822575</xdr:colOff>
      <xdr:row>2</xdr:row>
      <xdr:rowOff>177800</xdr:rowOff>
    </xdr:to>
    <xdr:sp macro="" textlink="">
      <xdr:nvSpPr>
        <xdr:cNvPr id="3" name="Rechteck: abgerundete Ecken 1">
          <a:extLst>
            <a:ext uri="{FF2B5EF4-FFF2-40B4-BE49-F238E27FC236}">
              <a16:creationId xmlns:a16="http://schemas.microsoft.com/office/drawing/2014/main" id="{2A79C17B-2559-471D-B72F-8269586F3DB5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3dXN0ZWNobmlrLW15LnNoYXJlcG9pbnQuY29tLzp1Oi9nL3BlcnNvbmFsL2t1ZWhuaG9sZF93dXMtdGVjaG5pa19jb20vSVFBUTZMZGk2YmZxUUpkZzZmc0lRbDZTQWZuLUVFYjJUQlN0N1JkX21rMjJPb2s&quot;}"/>
            </a:ext>
          </a:extLst>
        </xdr:cNvPr>
        <xdr:cNvSpPr/>
      </xdr:nvSpPr>
      <xdr:spPr>
        <a:xfrm>
          <a:off x="9591675" y="295275"/>
          <a:ext cx="2565400" cy="292100"/>
        </a:xfrm>
        <a:prstGeom prst="roundRect">
          <a:avLst/>
        </a:prstGeom>
        <a:solidFill>
          <a:srgbClr val="107C41"/>
        </a:solidFill>
        <a:ln w="19050" cap="flat" cmpd="sng" algn="ctr"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/>
            <a:t>Kabelunterzeilen anlegen ausführen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1</xdr:row>
      <xdr:rowOff>38100</xdr:rowOff>
    </xdr:from>
    <xdr:to>
      <xdr:col>12</xdr:col>
      <xdr:colOff>2832100</xdr:colOff>
      <xdr:row>2</xdr:row>
      <xdr:rowOff>139700</xdr:rowOff>
    </xdr:to>
    <xdr:sp macro="" textlink="">
      <xdr:nvSpPr>
        <xdr:cNvPr id="3" name="Rechteck: abgerundete Ecken 1">
          <a:extLst>
            <a:ext uri="{FF2B5EF4-FFF2-40B4-BE49-F238E27FC236}">
              <a16:creationId xmlns:a16="http://schemas.microsoft.com/office/drawing/2014/main" id="{AB00BD88-7702-4A29-8C20-E8E7C47AC66E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3dXN0ZWNobmlrLW15LnNoYXJlcG9pbnQuY29tLzp1Oi9nL3BlcnNvbmFsL2t1ZWhuaG9sZF93dXMtdGVjaG5pa19jb20vSVFBUTZMZGk2YmZxUUpkZzZmc0lRbDZTQWZuLUVFYjJUQlN0N1JkX21rMjJPb2s&quot;}"/>
            </a:ext>
          </a:extLst>
        </xdr:cNvPr>
        <xdr:cNvSpPr/>
      </xdr:nvSpPr>
      <xdr:spPr>
        <a:xfrm>
          <a:off x="9601200" y="257175"/>
          <a:ext cx="2565400" cy="292100"/>
        </a:xfrm>
        <a:prstGeom prst="roundRect">
          <a:avLst/>
        </a:prstGeom>
        <a:solidFill>
          <a:srgbClr val="107C41"/>
        </a:solidFill>
        <a:ln w="19050" cap="flat" cmpd="sng" algn="ctr"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/>
            <a:t>Kabelunterzeilen anlegen ausführen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F70"/>
  <sheetViews>
    <sheetView zoomScaleNormal="100" workbookViewId="0">
      <pane xSplit="4" ySplit="3" topLeftCell="E4" activePane="bottomRight" state="frozen"/>
      <selection pane="bottomRight" activeCell="L22" sqref="L22"/>
      <selection pane="bottomLeft" activeCell="A4" sqref="A4"/>
      <selection pane="topRight" activeCell="E1" sqref="E1"/>
    </sheetView>
  </sheetViews>
  <sheetFormatPr defaultColWidth="8.5703125" defaultRowHeight="15"/>
  <cols>
    <col min="1" max="1" width="15" customWidth="1"/>
    <col min="2" max="2" width="12" customWidth="1"/>
    <col min="3" max="3" width="8" customWidth="1"/>
    <col min="4" max="4" width="30" customWidth="1"/>
    <col min="5" max="162" width="7.7109375" customWidth="1"/>
  </cols>
  <sheetData>
    <row r="1" spans="1:162" ht="18" customHeight="1">
      <c r="A1" s="14" t="s">
        <v>0</v>
      </c>
      <c r="E1" s="41" t="s">
        <v>1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 t="s">
        <v>2</v>
      </c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 t="s">
        <v>3</v>
      </c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 t="s">
        <v>4</v>
      </c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 t="s">
        <v>5</v>
      </c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 t="s">
        <v>6</v>
      </c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</row>
    <row r="2" spans="1:162" ht="15.75" customHeight="1">
      <c r="D2" s="28" t="s">
        <v>7</v>
      </c>
      <c r="E2" s="29">
        <v>46214</v>
      </c>
      <c r="F2" s="29">
        <v>46215</v>
      </c>
      <c r="G2" s="30">
        <v>46216</v>
      </c>
      <c r="H2" s="30">
        <v>46217</v>
      </c>
      <c r="I2" s="30">
        <v>46218</v>
      </c>
      <c r="J2" s="30">
        <v>46219</v>
      </c>
      <c r="K2" s="30">
        <v>46220</v>
      </c>
      <c r="L2" s="29">
        <v>46221</v>
      </c>
      <c r="M2" s="29">
        <v>46222</v>
      </c>
      <c r="N2" s="30">
        <v>46223</v>
      </c>
      <c r="O2" s="30">
        <v>46224</v>
      </c>
      <c r="P2" s="30">
        <v>46225</v>
      </c>
      <c r="Q2" s="30">
        <v>46226</v>
      </c>
      <c r="R2" s="30">
        <v>46227</v>
      </c>
      <c r="S2" s="29">
        <v>46228</v>
      </c>
      <c r="T2" s="29">
        <v>46229</v>
      </c>
      <c r="U2" s="30">
        <v>46230</v>
      </c>
      <c r="V2" s="30">
        <v>46231</v>
      </c>
      <c r="W2" s="30">
        <v>46232</v>
      </c>
      <c r="X2" s="30">
        <v>46233</v>
      </c>
      <c r="Y2" s="30">
        <v>46234</v>
      </c>
      <c r="Z2" s="29">
        <v>46235</v>
      </c>
      <c r="AA2" s="29">
        <v>46236</v>
      </c>
      <c r="AB2" s="30">
        <v>46237</v>
      </c>
      <c r="AC2" s="30">
        <v>46238</v>
      </c>
      <c r="AD2" s="30">
        <v>46239</v>
      </c>
      <c r="AE2" s="30">
        <v>46240</v>
      </c>
      <c r="AF2" s="30">
        <v>46241</v>
      </c>
      <c r="AG2" s="29">
        <v>46242</v>
      </c>
      <c r="AH2" s="29">
        <v>46243</v>
      </c>
      <c r="AI2" s="30">
        <v>46244</v>
      </c>
      <c r="AJ2" s="30">
        <v>46245</v>
      </c>
      <c r="AK2" s="30">
        <v>46246</v>
      </c>
      <c r="AL2" s="30">
        <v>46247</v>
      </c>
      <c r="AM2" s="30">
        <v>46248</v>
      </c>
      <c r="AN2" s="29">
        <v>46249</v>
      </c>
      <c r="AO2" s="29">
        <v>46250</v>
      </c>
      <c r="AP2" s="30">
        <v>46251</v>
      </c>
      <c r="AQ2" s="30">
        <v>46252</v>
      </c>
      <c r="AR2" s="30">
        <v>46253</v>
      </c>
      <c r="AS2" s="30">
        <v>46254</v>
      </c>
      <c r="AT2" s="30">
        <v>46255</v>
      </c>
      <c r="AU2" s="29">
        <v>46256</v>
      </c>
      <c r="AV2" s="29">
        <v>46257</v>
      </c>
      <c r="AW2" s="30">
        <v>46258</v>
      </c>
      <c r="AX2" s="30">
        <v>46259</v>
      </c>
      <c r="AY2" s="30">
        <v>46260</v>
      </c>
      <c r="AZ2" s="30">
        <v>46261</v>
      </c>
      <c r="BA2" s="30">
        <v>46262</v>
      </c>
      <c r="BB2" s="29">
        <v>46263</v>
      </c>
      <c r="BC2" s="29">
        <v>46264</v>
      </c>
      <c r="BD2" s="30">
        <v>46265</v>
      </c>
      <c r="BE2" s="30">
        <v>46266</v>
      </c>
      <c r="BF2" s="30">
        <v>46267</v>
      </c>
      <c r="BG2" s="30">
        <v>46268</v>
      </c>
      <c r="BH2" s="30">
        <v>46269</v>
      </c>
      <c r="BI2" s="29">
        <v>46270</v>
      </c>
      <c r="BJ2" s="29">
        <v>46271</v>
      </c>
      <c r="BK2" s="30">
        <v>46272</v>
      </c>
      <c r="BL2" s="30">
        <v>46273</v>
      </c>
      <c r="BM2" s="30">
        <v>46274</v>
      </c>
      <c r="BN2" s="30">
        <v>46275</v>
      </c>
      <c r="BO2" s="30">
        <v>46276</v>
      </c>
      <c r="BP2" s="29">
        <v>46277</v>
      </c>
      <c r="BQ2" s="29">
        <v>46278</v>
      </c>
      <c r="BR2" s="30">
        <v>46279</v>
      </c>
      <c r="BS2" s="30">
        <v>46280</v>
      </c>
      <c r="BT2" s="30">
        <v>46281</v>
      </c>
      <c r="BU2" s="30">
        <v>46282</v>
      </c>
      <c r="BV2" s="30">
        <v>46283</v>
      </c>
      <c r="BW2" s="29">
        <v>46284</v>
      </c>
      <c r="BX2" s="29">
        <v>46285</v>
      </c>
      <c r="BY2" s="30">
        <v>46286</v>
      </c>
      <c r="BZ2" s="30">
        <v>46287</v>
      </c>
      <c r="CA2" s="30">
        <v>46288</v>
      </c>
      <c r="CB2" s="30">
        <v>46289</v>
      </c>
      <c r="CC2" s="30">
        <v>46290</v>
      </c>
      <c r="CD2" s="29">
        <v>46291</v>
      </c>
      <c r="CE2" s="29">
        <v>46292</v>
      </c>
      <c r="CF2" s="30">
        <v>46293</v>
      </c>
      <c r="CG2" s="30">
        <v>46294</v>
      </c>
      <c r="CH2" s="30">
        <v>46295</v>
      </c>
      <c r="CI2" s="30">
        <v>46296</v>
      </c>
      <c r="CJ2" s="30">
        <v>46297</v>
      </c>
      <c r="CK2" s="29">
        <v>46298</v>
      </c>
      <c r="CL2" s="29">
        <v>46299</v>
      </c>
      <c r="CM2" s="30">
        <v>46300</v>
      </c>
      <c r="CN2" s="30">
        <v>46301</v>
      </c>
      <c r="CO2" s="30">
        <v>46302</v>
      </c>
      <c r="CP2" s="30">
        <v>46303</v>
      </c>
      <c r="CQ2" s="30">
        <v>46304</v>
      </c>
      <c r="CR2" s="29">
        <v>46305</v>
      </c>
      <c r="CS2" s="29">
        <v>46306</v>
      </c>
      <c r="CT2" s="30">
        <v>46307</v>
      </c>
      <c r="CU2" s="30">
        <v>46308</v>
      </c>
      <c r="CV2" s="30">
        <v>46309</v>
      </c>
      <c r="CW2" s="30">
        <v>46310</v>
      </c>
      <c r="CX2" s="30">
        <v>46311</v>
      </c>
      <c r="CY2" s="29">
        <v>46312</v>
      </c>
      <c r="CZ2" s="29">
        <v>46313</v>
      </c>
      <c r="DA2" s="30">
        <v>46314</v>
      </c>
      <c r="DB2" s="30">
        <v>46315</v>
      </c>
      <c r="DC2" s="30">
        <v>46316</v>
      </c>
      <c r="DD2" s="30">
        <v>46317</v>
      </c>
      <c r="DE2" s="30">
        <v>46318</v>
      </c>
      <c r="DF2" s="29">
        <v>46319</v>
      </c>
      <c r="DG2" s="29">
        <v>46320</v>
      </c>
      <c r="DH2" s="30">
        <v>46321</v>
      </c>
      <c r="DI2" s="30">
        <v>46322</v>
      </c>
      <c r="DJ2" s="30">
        <v>46323</v>
      </c>
      <c r="DK2" s="30">
        <v>46324</v>
      </c>
      <c r="DL2" s="30">
        <v>46325</v>
      </c>
      <c r="DM2" s="29">
        <v>46326</v>
      </c>
      <c r="DN2" s="29">
        <v>46327</v>
      </c>
      <c r="DO2" s="30">
        <v>46328</v>
      </c>
      <c r="DP2" s="30">
        <v>46329</v>
      </c>
      <c r="DQ2" s="30">
        <v>46330</v>
      </c>
      <c r="DR2" s="30">
        <v>46331</v>
      </c>
      <c r="DS2" s="30">
        <v>46332</v>
      </c>
      <c r="DT2" s="29">
        <v>46333</v>
      </c>
      <c r="DU2" s="29">
        <v>46334</v>
      </c>
      <c r="DV2" s="30">
        <v>46335</v>
      </c>
      <c r="DW2" s="30">
        <v>46336</v>
      </c>
      <c r="DX2" s="30">
        <v>46337</v>
      </c>
      <c r="DY2" s="30">
        <v>46338</v>
      </c>
      <c r="DZ2" s="30">
        <v>46339</v>
      </c>
      <c r="EA2" s="29">
        <v>46340</v>
      </c>
      <c r="EB2" s="29">
        <v>46341</v>
      </c>
      <c r="EC2" s="30">
        <v>46342</v>
      </c>
      <c r="ED2" s="30">
        <v>46343</v>
      </c>
      <c r="EE2" s="30">
        <v>46344</v>
      </c>
      <c r="EF2" s="30">
        <v>46345</v>
      </c>
      <c r="EG2" s="30">
        <v>46346</v>
      </c>
      <c r="EH2" s="29">
        <v>46347</v>
      </c>
      <c r="EI2" s="29">
        <v>46348</v>
      </c>
      <c r="EJ2" s="30">
        <v>46349</v>
      </c>
      <c r="EK2" s="30">
        <v>46350</v>
      </c>
      <c r="EL2" s="30">
        <v>46351</v>
      </c>
      <c r="EM2" s="30">
        <v>46352</v>
      </c>
      <c r="EN2" s="30">
        <v>46353</v>
      </c>
      <c r="EO2" s="29">
        <v>46354</v>
      </c>
      <c r="EP2" s="29">
        <v>46355</v>
      </c>
      <c r="EQ2" s="30">
        <v>46356</v>
      </c>
      <c r="ER2" s="30">
        <v>46357</v>
      </c>
      <c r="ES2" s="30">
        <v>46358</v>
      </c>
      <c r="ET2" s="30">
        <v>46359</v>
      </c>
      <c r="EU2" s="30">
        <v>46360</v>
      </c>
      <c r="EV2" s="29">
        <v>46361</v>
      </c>
      <c r="EW2" s="29">
        <v>46362</v>
      </c>
      <c r="EX2" s="30">
        <v>46363</v>
      </c>
      <c r="EY2" s="30">
        <v>46364</v>
      </c>
      <c r="EZ2" s="30">
        <v>46365</v>
      </c>
      <c r="FA2" s="30">
        <v>46366</v>
      </c>
      <c r="FB2" s="30">
        <v>46367</v>
      </c>
      <c r="FC2" s="29">
        <v>46368</v>
      </c>
      <c r="FD2" s="29">
        <v>46369</v>
      </c>
      <c r="FE2" s="30">
        <v>46370</v>
      </c>
      <c r="FF2" s="30">
        <v>46371</v>
      </c>
    </row>
    <row r="3" spans="1:162" ht="12.75" customHeight="1">
      <c r="E3" s="31" t="s">
        <v>8</v>
      </c>
      <c r="F3" s="31" t="s">
        <v>9</v>
      </c>
      <c r="G3" s="32" t="s">
        <v>10</v>
      </c>
      <c r="H3" s="32" t="s">
        <v>11</v>
      </c>
      <c r="I3" s="32" t="s">
        <v>12</v>
      </c>
      <c r="J3" s="32" t="s">
        <v>13</v>
      </c>
      <c r="K3" s="32" t="s">
        <v>14</v>
      </c>
      <c r="L3" s="31" t="s">
        <v>8</v>
      </c>
      <c r="M3" s="31" t="s">
        <v>9</v>
      </c>
      <c r="N3" s="32" t="s">
        <v>10</v>
      </c>
      <c r="O3" s="32" t="s">
        <v>11</v>
      </c>
      <c r="P3" s="32" t="s">
        <v>12</v>
      </c>
      <c r="Q3" s="32" t="s">
        <v>13</v>
      </c>
      <c r="R3" s="32" t="s">
        <v>14</v>
      </c>
      <c r="S3" s="31" t="s">
        <v>8</v>
      </c>
      <c r="T3" s="31" t="s">
        <v>9</v>
      </c>
      <c r="U3" s="32" t="s">
        <v>10</v>
      </c>
      <c r="V3" s="32" t="s">
        <v>11</v>
      </c>
      <c r="W3" s="32" t="s">
        <v>12</v>
      </c>
      <c r="X3" s="32" t="s">
        <v>13</v>
      </c>
      <c r="Y3" s="32" t="s">
        <v>14</v>
      </c>
      <c r="Z3" s="31" t="s">
        <v>8</v>
      </c>
      <c r="AA3" s="31" t="s">
        <v>9</v>
      </c>
      <c r="AB3" s="32" t="s">
        <v>10</v>
      </c>
      <c r="AC3" s="32" t="s">
        <v>11</v>
      </c>
      <c r="AD3" s="32" t="s">
        <v>12</v>
      </c>
      <c r="AE3" s="32" t="s">
        <v>13</v>
      </c>
      <c r="AF3" s="32" t="s">
        <v>14</v>
      </c>
      <c r="AG3" s="31" t="s">
        <v>8</v>
      </c>
      <c r="AH3" s="31" t="s">
        <v>9</v>
      </c>
      <c r="AI3" s="32" t="s">
        <v>10</v>
      </c>
      <c r="AJ3" s="32" t="s">
        <v>11</v>
      </c>
      <c r="AK3" s="32" t="s">
        <v>12</v>
      </c>
      <c r="AL3" s="32" t="s">
        <v>13</v>
      </c>
      <c r="AM3" s="32" t="s">
        <v>14</v>
      </c>
      <c r="AN3" s="31" t="s">
        <v>8</v>
      </c>
      <c r="AO3" s="31" t="s">
        <v>9</v>
      </c>
      <c r="AP3" s="32" t="s">
        <v>10</v>
      </c>
      <c r="AQ3" s="32" t="s">
        <v>11</v>
      </c>
      <c r="AR3" s="32" t="s">
        <v>12</v>
      </c>
      <c r="AS3" s="32" t="s">
        <v>13</v>
      </c>
      <c r="AT3" s="32" t="s">
        <v>14</v>
      </c>
      <c r="AU3" s="31" t="s">
        <v>8</v>
      </c>
      <c r="AV3" s="31" t="s">
        <v>9</v>
      </c>
      <c r="AW3" s="32" t="s">
        <v>10</v>
      </c>
      <c r="AX3" s="32" t="s">
        <v>11</v>
      </c>
      <c r="AY3" s="32" t="s">
        <v>12</v>
      </c>
      <c r="AZ3" s="32" t="s">
        <v>13</v>
      </c>
      <c r="BA3" s="32" t="s">
        <v>14</v>
      </c>
      <c r="BB3" s="31" t="s">
        <v>8</v>
      </c>
      <c r="BC3" s="31" t="s">
        <v>9</v>
      </c>
      <c r="BD3" s="32" t="s">
        <v>10</v>
      </c>
      <c r="BE3" s="32" t="s">
        <v>11</v>
      </c>
      <c r="BF3" s="32" t="s">
        <v>12</v>
      </c>
      <c r="BG3" s="32" t="s">
        <v>13</v>
      </c>
      <c r="BH3" s="32" t="s">
        <v>14</v>
      </c>
      <c r="BI3" s="31" t="s">
        <v>8</v>
      </c>
      <c r="BJ3" s="31" t="s">
        <v>9</v>
      </c>
      <c r="BK3" s="32" t="s">
        <v>10</v>
      </c>
      <c r="BL3" s="32" t="s">
        <v>11</v>
      </c>
      <c r="BM3" s="32" t="s">
        <v>12</v>
      </c>
      <c r="BN3" s="32" t="s">
        <v>13</v>
      </c>
      <c r="BO3" s="32" t="s">
        <v>14</v>
      </c>
      <c r="BP3" s="31" t="s">
        <v>8</v>
      </c>
      <c r="BQ3" s="31" t="s">
        <v>9</v>
      </c>
      <c r="BR3" s="32" t="s">
        <v>10</v>
      </c>
      <c r="BS3" s="32" t="s">
        <v>11</v>
      </c>
      <c r="BT3" s="32" t="s">
        <v>12</v>
      </c>
      <c r="BU3" s="32" t="s">
        <v>13</v>
      </c>
      <c r="BV3" s="32" t="s">
        <v>14</v>
      </c>
      <c r="BW3" s="31" t="s">
        <v>8</v>
      </c>
      <c r="BX3" s="31" t="s">
        <v>9</v>
      </c>
      <c r="BY3" s="32" t="s">
        <v>10</v>
      </c>
      <c r="BZ3" s="32" t="s">
        <v>11</v>
      </c>
      <c r="CA3" s="32" t="s">
        <v>12</v>
      </c>
      <c r="CB3" s="32" t="s">
        <v>13</v>
      </c>
      <c r="CC3" s="32" t="s">
        <v>14</v>
      </c>
      <c r="CD3" s="31" t="s">
        <v>8</v>
      </c>
      <c r="CE3" s="31" t="s">
        <v>9</v>
      </c>
      <c r="CF3" s="32" t="s">
        <v>10</v>
      </c>
      <c r="CG3" s="32" t="s">
        <v>11</v>
      </c>
      <c r="CH3" s="32" t="s">
        <v>12</v>
      </c>
      <c r="CI3" s="32" t="s">
        <v>13</v>
      </c>
      <c r="CJ3" s="32" t="s">
        <v>14</v>
      </c>
      <c r="CK3" s="31" t="s">
        <v>8</v>
      </c>
      <c r="CL3" s="31" t="s">
        <v>9</v>
      </c>
      <c r="CM3" s="32" t="s">
        <v>10</v>
      </c>
      <c r="CN3" s="32" t="s">
        <v>11</v>
      </c>
      <c r="CO3" s="32" t="s">
        <v>12</v>
      </c>
      <c r="CP3" s="32" t="s">
        <v>13</v>
      </c>
      <c r="CQ3" s="32" t="s">
        <v>14</v>
      </c>
      <c r="CR3" s="31" t="s">
        <v>8</v>
      </c>
      <c r="CS3" s="31" t="s">
        <v>9</v>
      </c>
      <c r="CT3" s="32" t="s">
        <v>10</v>
      </c>
      <c r="CU3" s="32" t="s">
        <v>11</v>
      </c>
      <c r="CV3" s="32" t="s">
        <v>12</v>
      </c>
      <c r="CW3" s="32" t="s">
        <v>13</v>
      </c>
      <c r="CX3" s="32" t="s">
        <v>14</v>
      </c>
      <c r="CY3" s="31" t="s">
        <v>8</v>
      </c>
      <c r="CZ3" s="31" t="s">
        <v>9</v>
      </c>
      <c r="DA3" s="32" t="s">
        <v>10</v>
      </c>
      <c r="DB3" s="32" t="s">
        <v>11</v>
      </c>
      <c r="DC3" s="32" t="s">
        <v>12</v>
      </c>
      <c r="DD3" s="32" t="s">
        <v>13</v>
      </c>
      <c r="DE3" s="32" t="s">
        <v>14</v>
      </c>
      <c r="DF3" s="31" t="s">
        <v>8</v>
      </c>
      <c r="DG3" s="31" t="s">
        <v>9</v>
      </c>
      <c r="DH3" s="32" t="s">
        <v>10</v>
      </c>
      <c r="DI3" s="32" t="s">
        <v>11</v>
      </c>
      <c r="DJ3" s="32" t="s">
        <v>12</v>
      </c>
      <c r="DK3" s="32" t="s">
        <v>13</v>
      </c>
      <c r="DL3" s="32" t="s">
        <v>14</v>
      </c>
      <c r="DM3" s="31" t="s">
        <v>8</v>
      </c>
      <c r="DN3" s="31" t="s">
        <v>9</v>
      </c>
      <c r="DO3" s="32" t="s">
        <v>10</v>
      </c>
      <c r="DP3" s="32" t="s">
        <v>11</v>
      </c>
      <c r="DQ3" s="32" t="s">
        <v>12</v>
      </c>
      <c r="DR3" s="32" t="s">
        <v>13</v>
      </c>
      <c r="DS3" s="32" t="s">
        <v>14</v>
      </c>
      <c r="DT3" s="31" t="s">
        <v>8</v>
      </c>
      <c r="DU3" s="31" t="s">
        <v>9</v>
      </c>
      <c r="DV3" s="32" t="s">
        <v>10</v>
      </c>
      <c r="DW3" s="32" t="s">
        <v>11</v>
      </c>
      <c r="DX3" s="32" t="s">
        <v>12</v>
      </c>
      <c r="DY3" s="32" t="s">
        <v>13</v>
      </c>
      <c r="DZ3" s="32" t="s">
        <v>14</v>
      </c>
      <c r="EA3" s="31" t="s">
        <v>8</v>
      </c>
      <c r="EB3" s="31" t="s">
        <v>9</v>
      </c>
      <c r="EC3" s="32" t="s">
        <v>10</v>
      </c>
      <c r="ED3" s="32" t="s">
        <v>11</v>
      </c>
      <c r="EE3" s="32" t="s">
        <v>12</v>
      </c>
      <c r="EF3" s="32" t="s">
        <v>13</v>
      </c>
      <c r="EG3" s="32" t="s">
        <v>14</v>
      </c>
      <c r="EH3" s="31" t="s">
        <v>8</v>
      </c>
      <c r="EI3" s="31" t="s">
        <v>9</v>
      </c>
      <c r="EJ3" s="32" t="s">
        <v>10</v>
      </c>
      <c r="EK3" s="32" t="s">
        <v>11</v>
      </c>
      <c r="EL3" s="32" t="s">
        <v>12</v>
      </c>
      <c r="EM3" s="32" t="s">
        <v>13</v>
      </c>
      <c r="EN3" s="32" t="s">
        <v>14</v>
      </c>
      <c r="EO3" s="31" t="s">
        <v>8</v>
      </c>
      <c r="EP3" s="31" t="s">
        <v>9</v>
      </c>
      <c r="EQ3" s="32" t="s">
        <v>10</v>
      </c>
      <c r="ER3" s="32" t="s">
        <v>11</v>
      </c>
      <c r="ES3" s="32" t="s">
        <v>12</v>
      </c>
      <c r="ET3" s="32" t="s">
        <v>13</v>
      </c>
      <c r="EU3" s="32" t="s">
        <v>14</v>
      </c>
      <c r="EV3" s="31" t="s">
        <v>8</v>
      </c>
      <c r="EW3" s="31" t="s">
        <v>9</v>
      </c>
      <c r="EX3" s="32" t="s">
        <v>10</v>
      </c>
      <c r="EY3" s="32" t="s">
        <v>11</v>
      </c>
      <c r="EZ3" s="32" t="s">
        <v>12</v>
      </c>
      <c r="FA3" s="32" t="s">
        <v>13</v>
      </c>
      <c r="FB3" s="32" t="s">
        <v>14</v>
      </c>
      <c r="FC3" s="31" t="s">
        <v>8</v>
      </c>
      <c r="FD3" s="31" t="s">
        <v>9</v>
      </c>
      <c r="FE3" s="32" t="s">
        <v>10</v>
      </c>
      <c r="FF3" s="32" t="s">
        <v>11</v>
      </c>
    </row>
    <row r="4" spans="1:162" ht="19.5" customHeight="1">
      <c r="A4" s="38" t="s">
        <v>15</v>
      </c>
      <c r="B4" s="38"/>
      <c r="C4" s="38"/>
      <c r="D4" s="38"/>
      <c r="E4" s="33" t="s">
        <v>16</v>
      </c>
      <c r="F4" s="33" t="s">
        <v>16</v>
      </c>
      <c r="G4" s="34" t="s">
        <v>17</v>
      </c>
      <c r="H4" s="34" t="s">
        <v>17</v>
      </c>
      <c r="I4" s="34" t="s">
        <v>17</v>
      </c>
      <c r="J4" s="34" t="s">
        <v>17</v>
      </c>
      <c r="K4" s="34" t="s">
        <v>17</v>
      </c>
      <c r="L4" s="33" t="s">
        <v>17</v>
      </c>
      <c r="M4" s="33" t="s">
        <v>17</v>
      </c>
      <c r="N4" s="34" t="s">
        <v>18</v>
      </c>
      <c r="O4" s="34" t="s">
        <v>18</v>
      </c>
      <c r="P4" s="34" t="s">
        <v>18</v>
      </c>
      <c r="Q4" s="34" t="s">
        <v>18</v>
      </c>
      <c r="R4" s="34" t="s">
        <v>19</v>
      </c>
      <c r="S4" s="33" t="s">
        <v>19</v>
      </c>
      <c r="T4" s="33" t="s">
        <v>20</v>
      </c>
      <c r="U4" s="34" t="s">
        <v>20</v>
      </c>
      <c r="V4" s="34" t="s">
        <v>20</v>
      </c>
      <c r="W4" s="34" t="s">
        <v>20</v>
      </c>
      <c r="X4" s="34" t="s">
        <v>20</v>
      </c>
      <c r="Y4" s="34" t="s">
        <v>20</v>
      </c>
      <c r="Z4" s="33" t="s">
        <v>20</v>
      </c>
      <c r="AA4" s="33" t="s">
        <v>20</v>
      </c>
      <c r="AB4" s="34" t="s">
        <v>21</v>
      </c>
      <c r="AC4" s="34" t="s">
        <v>21</v>
      </c>
      <c r="AD4" s="34" t="s">
        <v>21</v>
      </c>
      <c r="AE4" s="34" t="s">
        <v>21</v>
      </c>
      <c r="AF4" s="34" t="s">
        <v>21</v>
      </c>
      <c r="AG4" s="33" t="s">
        <v>22</v>
      </c>
      <c r="AH4" s="33" t="s">
        <v>22</v>
      </c>
      <c r="AI4" s="34" t="s">
        <v>21</v>
      </c>
      <c r="AJ4" s="34" t="s">
        <v>21</v>
      </c>
      <c r="AK4" s="34" t="s">
        <v>21</v>
      </c>
      <c r="AL4" s="34" t="s">
        <v>21</v>
      </c>
      <c r="AM4" s="34" t="s">
        <v>21</v>
      </c>
      <c r="AN4" s="33" t="s">
        <v>21</v>
      </c>
      <c r="AO4" s="33" t="s">
        <v>21</v>
      </c>
      <c r="AP4" s="34" t="s">
        <v>23</v>
      </c>
      <c r="AQ4" s="34" t="s">
        <v>23</v>
      </c>
      <c r="AR4" s="34" t="s">
        <v>23</v>
      </c>
      <c r="AS4" s="34" t="s">
        <v>23</v>
      </c>
      <c r="AT4" s="34" t="s">
        <v>23</v>
      </c>
      <c r="AU4" s="35"/>
      <c r="AV4" s="35"/>
      <c r="AW4" s="26"/>
      <c r="AX4" s="26"/>
      <c r="AY4" s="34" t="s">
        <v>21</v>
      </c>
      <c r="AZ4" s="34" t="s">
        <v>21</v>
      </c>
      <c r="BA4" s="26"/>
      <c r="BB4" s="35"/>
      <c r="BC4" s="35"/>
      <c r="BD4" s="26"/>
      <c r="BE4" s="26"/>
      <c r="BF4" s="26"/>
      <c r="BG4" s="26"/>
      <c r="BH4" s="26"/>
      <c r="BI4" s="35"/>
      <c r="BJ4" s="35"/>
      <c r="BK4" s="26"/>
      <c r="BL4" s="26"/>
      <c r="BM4" s="26"/>
      <c r="BN4" s="26"/>
      <c r="BO4" s="26"/>
      <c r="BP4" s="35"/>
      <c r="BQ4" s="35"/>
      <c r="BR4" s="26"/>
      <c r="BS4" s="26"/>
      <c r="BT4" s="26"/>
      <c r="BU4" s="26"/>
      <c r="BV4" s="26"/>
      <c r="BW4" s="35"/>
      <c r="BX4" s="35"/>
      <c r="BY4" s="26"/>
      <c r="BZ4" s="26"/>
      <c r="CA4" s="26"/>
      <c r="CB4" s="26"/>
      <c r="CC4" s="26"/>
      <c r="CD4" s="35"/>
      <c r="CE4" s="35"/>
      <c r="CF4" s="26"/>
      <c r="CG4" s="26"/>
      <c r="CH4" s="26"/>
      <c r="CI4" s="26"/>
      <c r="CJ4" s="26"/>
      <c r="CK4" s="35"/>
      <c r="CL4" s="35"/>
      <c r="CM4" s="26"/>
      <c r="CN4" s="26"/>
      <c r="CO4" s="26"/>
      <c r="CP4" s="26"/>
      <c r="CQ4" s="26"/>
      <c r="CR4" s="35"/>
      <c r="CS4" s="35"/>
      <c r="CT4" s="26"/>
      <c r="CU4" s="26"/>
      <c r="CV4" s="26"/>
      <c r="CW4" s="26"/>
      <c r="CX4" s="26"/>
      <c r="CY4" s="35"/>
      <c r="CZ4" s="35"/>
      <c r="DA4" s="26"/>
      <c r="DB4" s="26"/>
      <c r="DC4" s="26"/>
      <c r="DD4" s="26"/>
      <c r="DE4" s="26"/>
      <c r="DF4" s="35"/>
      <c r="DG4" s="35"/>
      <c r="DH4" s="26"/>
      <c r="DI4" s="26"/>
      <c r="DJ4" s="26"/>
      <c r="DK4" s="26"/>
      <c r="DL4" s="26"/>
      <c r="DM4" s="35"/>
      <c r="DN4" s="35"/>
      <c r="DO4" s="26"/>
      <c r="DP4" s="26"/>
      <c r="DQ4" s="26"/>
      <c r="DR4" s="26"/>
      <c r="DS4" s="26"/>
      <c r="DT4" s="35"/>
      <c r="DU4" s="35"/>
      <c r="DV4" s="26"/>
      <c r="DW4" s="26"/>
      <c r="DX4" s="26"/>
      <c r="DY4" s="26"/>
      <c r="DZ4" s="26"/>
      <c r="EA4" s="35"/>
      <c r="EB4" s="35"/>
      <c r="EC4" s="26"/>
      <c r="ED4" s="26"/>
      <c r="EE4" s="26"/>
      <c r="EF4" s="26"/>
      <c r="EG4" s="26"/>
      <c r="EH4" s="35"/>
      <c r="EI4" s="35"/>
      <c r="EJ4" s="26"/>
      <c r="EK4" s="26"/>
      <c r="EL4" s="26"/>
      <c r="EM4" s="26"/>
      <c r="EN4" s="26"/>
      <c r="EO4" s="35"/>
      <c r="EP4" s="35"/>
      <c r="EQ4" s="26"/>
      <c r="ER4" s="26"/>
      <c r="ES4" s="26"/>
      <c r="ET4" s="26"/>
      <c r="EU4" s="26"/>
      <c r="EV4" s="35"/>
      <c r="EW4" s="35"/>
      <c r="EX4" s="26"/>
      <c r="EY4" s="26"/>
      <c r="EZ4" s="26"/>
      <c r="FA4" s="26"/>
      <c r="FB4" s="26"/>
      <c r="FC4" s="35"/>
      <c r="FD4" s="35"/>
      <c r="FE4" s="26"/>
      <c r="FF4" s="26"/>
    </row>
    <row r="5" spans="1:162" ht="19.5" customHeight="1">
      <c r="A5" s="38"/>
      <c r="B5" s="38"/>
      <c r="C5" s="38"/>
      <c r="D5" s="38"/>
      <c r="E5" s="35"/>
      <c r="F5" s="33" t="s">
        <v>24</v>
      </c>
      <c r="G5" s="34" t="s">
        <v>19</v>
      </c>
      <c r="H5" s="34" t="s">
        <v>19</v>
      </c>
      <c r="I5" s="34" t="s">
        <v>19</v>
      </c>
      <c r="J5" s="34" t="s">
        <v>19</v>
      </c>
      <c r="K5" s="26"/>
      <c r="L5" s="35"/>
      <c r="M5" s="35"/>
      <c r="N5" s="34" t="s">
        <v>25</v>
      </c>
      <c r="O5" s="34" t="s">
        <v>25</v>
      </c>
      <c r="P5" s="34" t="s">
        <v>25</v>
      </c>
      <c r="Q5" s="34" t="s">
        <v>25</v>
      </c>
      <c r="R5" s="34" t="s">
        <v>25</v>
      </c>
      <c r="S5" s="33" t="s">
        <v>25</v>
      </c>
      <c r="T5" s="35"/>
      <c r="U5" s="34" t="s">
        <v>25</v>
      </c>
      <c r="V5" s="34" t="s">
        <v>25</v>
      </c>
      <c r="W5" s="34" t="s">
        <v>25</v>
      </c>
      <c r="X5" s="34" t="s">
        <v>25</v>
      </c>
      <c r="Y5" s="34" t="s">
        <v>25</v>
      </c>
      <c r="Z5" s="33" t="s">
        <v>25</v>
      </c>
      <c r="AA5" s="33" t="s">
        <v>25</v>
      </c>
      <c r="AB5" s="26"/>
      <c r="AC5" s="34" t="s">
        <v>26</v>
      </c>
      <c r="AD5" s="34" t="s">
        <v>26</v>
      </c>
      <c r="AE5" s="34" t="s">
        <v>26</v>
      </c>
      <c r="AF5" s="34" t="s">
        <v>26</v>
      </c>
      <c r="AG5" s="33" t="s">
        <v>23</v>
      </c>
      <c r="AH5" s="33" t="s">
        <v>23</v>
      </c>
      <c r="AI5" s="34" t="s">
        <v>22</v>
      </c>
      <c r="AJ5" s="34" t="s">
        <v>22</v>
      </c>
      <c r="AK5" s="34" t="s">
        <v>22</v>
      </c>
      <c r="AL5" s="34" t="s">
        <v>22</v>
      </c>
      <c r="AM5" s="34" t="s">
        <v>22</v>
      </c>
      <c r="AN5" s="33" t="s">
        <v>22</v>
      </c>
      <c r="AO5" s="33" t="s">
        <v>22</v>
      </c>
      <c r="AP5" s="34" t="s">
        <v>22</v>
      </c>
      <c r="AQ5" s="34" t="s">
        <v>22</v>
      </c>
      <c r="AR5" s="26"/>
      <c r="AS5" s="26"/>
      <c r="AT5" s="26"/>
      <c r="AU5" s="35"/>
      <c r="AV5" s="35"/>
      <c r="AW5" s="26"/>
      <c r="AX5" s="26"/>
      <c r="AY5" s="34" t="s">
        <v>23</v>
      </c>
      <c r="AZ5" s="34" t="s">
        <v>23</v>
      </c>
      <c r="BA5" s="26"/>
      <c r="BB5" s="35"/>
      <c r="BC5" s="35"/>
      <c r="BD5" s="26"/>
      <c r="BE5" s="26"/>
      <c r="BF5" s="26"/>
      <c r="BG5" s="26"/>
      <c r="BH5" s="26"/>
      <c r="BI5" s="35"/>
      <c r="BJ5" s="35"/>
      <c r="BK5" s="26"/>
      <c r="BL5" s="26"/>
      <c r="BM5" s="26"/>
      <c r="BN5" s="26"/>
      <c r="BO5" s="26"/>
      <c r="BP5" s="35"/>
      <c r="BQ5" s="35"/>
      <c r="BR5" s="26"/>
      <c r="BS5" s="26"/>
      <c r="BT5" s="26"/>
      <c r="BU5" s="26"/>
      <c r="BV5" s="26"/>
      <c r="BW5" s="35"/>
      <c r="BX5" s="35"/>
      <c r="BY5" s="26"/>
      <c r="BZ5" s="26"/>
      <c r="CA5" s="26"/>
      <c r="CB5" s="26"/>
      <c r="CC5" s="26"/>
      <c r="CD5" s="35"/>
      <c r="CE5" s="35"/>
      <c r="CF5" s="26"/>
      <c r="CG5" s="26"/>
      <c r="CH5" s="26"/>
      <c r="CI5" s="26"/>
      <c r="CJ5" s="26"/>
      <c r="CK5" s="35"/>
      <c r="CL5" s="35"/>
      <c r="CM5" s="26"/>
      <c r="CN5" s="26"/>
      <c r="CO5" s="26"/>
      <c r="CP5" s="26"/>
      <c r="CQ5" s="26"/>
      <c r="CR5" s="35"/>
      <c r="CS5" s="35"/>
      <c r="CT5" s="26"/>
      <c r="CU5" s="26"/>
      <c r="CV5" s="26"/>
      <c r="CW5" s="26"/>
      <c r="CX5" s="26"/>
      <c r="CY5" s="35"/>
      <c r="CZ5" s="35"/>
      <c r="DA5" s="26"/>
      <c r="DB5" s="26"/>
      <c r="DC5" s="26"/>
      <c r="DD5" s="26"/>
      <c r="DE5" s="26"/>
      <c r="DF5" s="35"/>
      <c r="DG5" s="35"/>
      <c r="DH5" s="26"/>
      <c r="DI5" s="26"/>
      <c r="DJ5" s="26"/>
      <c r="DK5" s="26"/>
      <c r="DL5" s="26"/>
      <c r="DM5" s="35"/>
      <c r="DN5" s="35"/>
      <c r="DO5" s="26"/>
      <c r="DP5" s="26"/>
      <c r="DQ5" s="26"/>
      <c r="DR5" s="26"/>
      <c r="DS5" s="26"/>
      <c r="DT5" s="35"/>
      <c r="DU5" s="35"/>
      <c r="DV5" s="26"/>
      <c r="DW5" s="26"/>
      <c r="DX5" s="26"/>
      <c r="DY5" s="26"/>
      <c r="DZ5" s="26"/>
      <c r="EA5" s="35"/>
      <c r="EB5" s="35"/>
      <c r="EC5" s="26"/>
      <c r="ED5" s="26"/>
      <c r="EE5" s="26"/>
      <c r="EF5" s="26"/>
      <c r="EG5" s="26"/>
      <c r="EH5" s="35"/>
      <c r="EI5" s="35"/>
      <c r="EJ5" s="26"/>
      <c r="EK5" s="26"/>
      <c r="EL5" s="26"/>
      <c r="EM5" s="26"/>
      <c r="EN5" s="26"/>
      <c r="EO5" s="35"/>
      <c r="EP5" s="35"/>
      <c r="EQ5" s="26"/>
      <c r="ER5" s="26"/>
      <c r="ES5" s="26"/>
      <c r="ET5" s="26"/>
      <c r="EU5" s="26"/>
      <c r="EV5" s="35"/>
      <c r="EW5" s="35"/>
      <c r="EX5" s="26"/>
      <c r="EY5" s="26"/>
      <c r="EZ5" s="26"/>
      <c r="FA5" s="26"/>
      <c r="FB5" s="26"/>
      <c r="FC5" s="35"/>
      <c r="FD5" s="35"/>
      <c r="FE5" s="26"/>
      <c r="FF5" s="26"/>
    </row>
    <row r="6" spans="1:162" ht="19.5" customHeight="1">
      <c r="A6" s="39" t="s">
        <v>27</v>
      </c>
      <c r="B6" s="39"/>
      <c r="C6" s="39"/>
      <c r="D6" s="39"/>
      <c r="E6" s="35"/>
      <c r="F6" s="35"/>
      <c r="G6" s="26"/>
      <c r="H6" s="26"/>
      <c r="I6" s="26"/>
      <c r="J6" s="26"/>
      <c r="K6" s="26"/>
      <c r="L6" s="35"/>
      <c r="M6" s="35"/>
      <c r="N6" s="34" t="s">
        <v>17</v>
      </c>
      <c r="O6" s="34" t="s">
        <v>17</v>
      </c>
      <c r="P6" s="34" t="s">
        <v>17</v>
      </c>
      <c r="Q6" s="34" t="s">
        <v>17</v>
      </c>
      <c r="R6" s="34" t="s">
        <v>17</v>
      </c>
      <c r="S6" s="33" t="s">
        <v>17</v>
      </c>
      <c r="T6" s="33" t="s">
        <v>17</v>
      </c>
      <c r="U6" s="34" t="s">
        <v>28</v>
      </c>
      <c r="V6" s="34" t="s">
        <v>28</v>
      </c>
      <c r="W6" s="34" t="s">
        <v>28</v>
      </c>
      <c r="X6" s="34" t="s">
        <v>28</v>
      </c>
      <c r="Y6" s="34" t="s">
        <v>28</v>
      </c>
      <c r="Z6" s="33" t="s">
        <v>28</v>
      </c>
      <c r="AA6" s="33" t="s">
        <v>28</v>
      </c>
      <c r="AB6" s="34" t="s">
        <v>29</v>
      </c>
      <c r="AC6" s="34" t="s">
        <v>30</v>
      </c>
      <c r="AD6" s="34" t="s">
        <v>30</v>
      </c>
      <c r="AE6" s="34" t="s">
        <v>30</v>
      </c>
      <c r="AF6" s="34" t="s">
        <v>30</v>
      </c>
      <c r="AG6" s="33" t="s">
        <v>30</v>
      </c>
      <c r="AH6" s="33" t="s">
        <v>30</v>
      </c>
      <c r="AI6" s="34" t="s">
        <v>30</v>
      </c>
      <c r="AJ6" s="34" t="s">
        <v>30</v>
      </c>
      <c r="AK6" s="34" t="s">
        <v>30</v>
      </c>
      <c r="AL6" s="34" t="s">
        <v>30</v>
      </c>
      <c r="AM6" s="34" t="s">
        <v>30</v>
      </c>
      <c r="AN6" s="33" t="s">
        <v>30</v>
      </c>
      <c r="AO6" s="33" t="s">
        <v>30</v>
      </c>
      <c r="AP6" s="26"/>
      <c r="AQ6" s="26"/>
      <c r="AR6" s="26"/>
      <c r="AS6" s="26"/>
      <c r="AT6" s="26"/>
      <c r="AU6" s="35"/>
      <c r="AV6" s="35"/>
      <c r="AW6" s="26"/>
      <c r="AX6" s="26"/>
      <c r="AY6" s="26"/>
      <c r="AZ6" s="26"/>
      <c r="BA6" s="26"/>
      <c r="BB6" s="35"/>
      <c r="BC6" s="35"/>
      <c r="BD6" s="26"/>
      <c r="BE6" s="26"/>
      <c r="BF6" s="26"/>
      <c r="BG6" s="26"/>
      <c r="BH6" s="26"/>
      <c r="BI6" s="35"/>
      <c r="BJ6" s="35"/>
      <c r="BK6" s="26"/>
      <c r="BL6" s="26"/>
      <c r="BM6" s="26"/>
      <c r="BN6" s="26"/>
      <c r="BO6" s="26"/>
      <c r="BP6" s="35"/>
      <c r="BQ6" s="35"/>
      <c r="BR6" s="26"/>
      <c r="BS6" s="26"/>
      <c r="BT6" s="26"/>
      <c r="BU6" s="26"/>
      <c r="BV6" s="26"/>
      <c r="BW6" s="35"/>
      <c r="BX6" s="35"/>
      <c r="BY6" s="26"/>
      <c r="BZ6" s="26"/>
      <c r="CA6" s="26"/>
      <c r="CB6" s="26"/>
      <c r="CC6" s="26"/>
      <c r="CD6" s="35"/>
      <c r="CE6" s="35"/>
      <c r="CF6" s="26"/>
      <c r="CG6" s="26"/>
      <c r="CH6" s="26"/>
      <c r="CI6" s="26"/>
      <c r="CJ6" s="26"/>
      <c r="CK6" s="35"/>
      <c r="CL6" s="35"/>
      <c r="CM6" s="26"/>
      <c r="CN6" s="26"/>
      <c r="CO6" s="26"/>
      <c r="CP6" s="26"/>
      <c r="CQ6" s="26"/>
      <c r="CR6" s="35"/>
      <c r="CS6" s="35"/>
      <c r="CT6" s="26"/>
      <c r="CU6" s="26"/>
      <c r="CV6" s="26"/>
      <c r="CW6" s="26"/>
      <c r="CX6" s="26"/>
      <c r="CY6" s="35"/>
      <c r="CZ6" s="35"/>
      <c r="DA6" s="26"/>
      <c r="DB6" s="26"/>
      <c r="DC6" s="26"/>
      <c r="DD6" s="26"/>
      <c r="DE6" s="26"/>
      <c r="DF6" s="35"/>
      <c r="DG6" s="35"/>
      <c r="DH6" s="26"/>
      <c r="DI6" s="26"/>
      <c r="DJ6" s="26"/>
      <c r="DK6" s="26"/>
      <c r="DL6" s="26"/>
      <c r="DM6" s="35"/>
      <c r="DN6" s="35"/>
      <c r="DO6" s="26"/>
      <c r="DP6" s="26"/>
      <c r="DQ6" s="26"/>
      <c r="DR6" s="26"/>
      <c r="DS6" s="26"/>
      <c r="DT6" s="35"/>
      <c r="DU6" s="35"/>
      <c r="DV6" s="26"/>
      <c r="DW6" s="26"/>
      <c r="DX6" s="26"/>
      <c r="DY6" s="26"/>
      <c r="DZ6" s="26"/>
      <c r="EA6" s="35"/>
      <c r="EB6" s="35"/>
      <c r="EC6" s="26"/>
      <c r="ED6" s="26"/>
      <c r="EE6" s="26"/>
      <c r="EF6" s="26"/>
      <c r="EG6" s="26"/>
      <c r="EH6" s="35"/>
      <c r="EI6" s="35"/>
      <c r="EJ6" s="26"/>
      <c r="EK6" s="26"/>
      <c r="EL6" s="26"/>
      <c r="EM6" s="26"/>
      <c r="EN6" s="26"/>
      <c r="EO6" s="35"/>
      <c r="EP6" s="35"/>
      <c r="EQ6" s="26"/>
      <c r="ER6" s="26"/>
      <c r="ES6" s="26"/>
      <c r="ET6" s="26"/>
      <c r="EU6" s="26"/>
      <c r="EV6" s="35"/>
      <c r="EW6" s="35"/>
      <c r="EX6" s="26"/>
      <c r="EY6" s="26"/>
      <c r="EZ6" s="26"/>
      <c r="FA6" s="26"/>
      <c r="FB6" s="26"/>
      <c r="FC6" s="35"/>
      <c r="FD6" s="35"/>
      <c r="FE6" s="26"/>
      <c r="FF6" s="26"/>
    </row>
    <row r="7" spans="1:162" ht="19.5" customHeight="1">
      <c r="A7" s="39"/>
      <c r="B7" s="39"/>
      <c r="C7" s="39"/>
      <c r="D7" s="39"/>
      <c r="E7" s="35"/>
      <c r="F7" s="35"/>
      <c r="G7" s="26"/>
      <c r="H7" s="26"/>
      <c r="I7" s="26"/>
      <c r="J7" s="26"/>
      <c r="K7" s="26"/>
      <c r="L7" s="35"/>
      <c r="M7" s="35"/>
      <c r="N7" s="34" t="s">
        <v>31</v>
      </c>
      <c r="O7" s="34" t="s">
        <v>31</v>
      </c>
      <c r="P7" s="34" t="s">
        <v>31</v>
      </c>
      <c r="Q7" s="34" t="s">
        <v>31</v>
      </c>
      <c r="R7" s="34" t="s">
        <v>31</v>
      </c>
      <c r="S7" s="33" t="s">
        <v>31</v>
      </c>
      <c r="T7" s="33" t="s">
        <v>31</v>
      </c>
      <c r="U7" s="34" t="s">
        <v>31</v>
      </c>
      <c r="V7" s="34" t="s">
        <v>31</v>
      </c>
      <c r="W7" s="34" t="s">
        <v>31</v>
      </c>
      <c r="X7" s="34" t="s">
        <v>31</v>
      </c>
      <c r="Y7" s="34" t="s">
        <v>31</v>
      </c>
      <c r="Z7" s="33" t="s">
        <v>31</v>
      </c>
      <c r="AA7" s="33" t="s">
        <v>31</v>
      </c>
      <c r="AB7" s="34" t="s">
        <v>32</v>
      </c>
      <c r="AC7" s="34" t="s">
        <v>32</v>
      </c>
      <c r="AD7" s="34" t="s">
        <v>32</v>
      </c>
      <c r="AE7" s="34" t="s">
        <v>32</v>
      </c>
      <c r="AF7" s="34" t="s">
        <v>32</v>
      </c>
      <c r="AG7" s="33" t="s">
        <v>32</v>
      </c>
      <c r="AH7" s="33" t="s">
        <v>32</v>
      </c>
      <c r="AI7" s="34" t="s">
        <v>32</v>
      </c>
      <c r="AJ7" s="34" t="s">
        <v>32</v>
      </c>
      <c r="AK7" s="34" t="s">
        <v>32</v>
      </c>
      <c r="AL7" s="34" t="s">
        <v>32</v>
      </c>
      <c r="AM7" s="34" t="s">
        <v>32</v>
      </c>
      <c r="AN7" s="33" t="s">
        <v>32</v>
      </c>
      <c r="AO7" s="33" t="s">
        <v>32</v>
      </c>
      <c r="AP7" s="26"/>
      <c r="AQ7" s="26"/>
      <c r="AR7" s="26"/>
      <c r="AS7" s="26"/>
      <c r="AT7" s="26"/>
      <c r="AU7" s="35"/>
      <c r="AV7" s="35"/>
      <c r="AW7" s="26"/>
      <c r="AX7" s="26"/>
      <c r="AY7" s="26"/>
      <c r="AZ7" s="26"/>
      <c r="BA7" s="26"/>
      <c r="BB7" s="35"/>
      <c r="BC7" s="35"/>
      <c r="BD7" s="26"/>
      <c r="BE7" s="26"/>
      <c r="BF7" s="26"/>
      <c r="BG7" s="26"/>
      <c r="BH7" s="26"/>
      <c r="BI7" s="35"/>
      <c r="BJ7" s="35"/>
      <c r="BK7" s="26"/>
      <c r="BL7" s="26"/>
      <c r="BM7" s="26"/>
      <c r="BN7" s="26"/>
      <c r="BO7" s="26"/>
      <c r="BP7" s="35"/>
      <c r="BQ7" s="35"/>
      <c r="BR7" s="26"/>
      <c r="BS7" s="26"/>
      <c r="BT7" s="26"/>
      <c r="BU7" s="26"/>
      <c r="BV7" s="26"/>
      <c r="BW7" s="35"/>
      <c r="BX7" s="35"/>
      <c r="BY7" s="26"/>
      <c r="BZ7" s="26"/>
      <c r="CA7" s="26"/>
      <c r="CB7" s="26"/>
      <c r="CC7" s="26"/>
      <c r="CD7" s="35"/>
      <c r="CE7" s="35"/>
      <c r="CF7" s="26"/>
      <c r="CG7" s="26"/>
      <c r="CH7" s="26"/>
      <c r="CI7" s="26"/>
      <c r="CJ7" s="26"/>
      <c r="CK7" s="35"/>
      <c r="CL7" s="35"/>
      <c r="CM7" s="26"/>
      <c r="CN7" s="26"/>
      <c r="CO7" s="26"/>
      <c r="CP7" s="26"/>
      <c r="CQ7" s="26"/>
      <c r="CR7" s="35"/>
      <c r="CS7" s="35"/>
      <c r="CT7" s="26"/>
      <c r="CU7" s="26"/>
      <c r="CV7" s="26"/>
      <c r="CW7" s="26"/>
      <c r="CX7" s="26"/>
      <c r="CY7" s="35"/>
      <c r="CZ7" s="35"/>
      <c r="DA7" s="26"/>
      <c r="DB7" s="26"/>
      <c r="DC7" s="26"/>
      <c r="DD7" s="26"/>
      <c r="DE7" s="26"/>
      <c r="DF7" s="35"/>
      <c r="DG7" s="35"/>
      <c r="DH7" s="26"/>
      <c r="DI7" s="26"/>
      <c r="DJ7" s="26"/>
      <c r="DK7" s="26"/>
      <c r="DL7" s="26"/>
      <c r="DM7" s="35"/>
      <c r="DN7" s="35"/>
      <c r="DO7" s="26"/>
      <c r="DP7" s="26"/>
      <c r="DQ7" s="26"/>
      <c r="DR7" s="26"/>
      <c r="DS7" s="26"/>
      <c r="DT7" s="35"/>
      <c r="DU7" s="35"/>
      <c r="DV7" s="26"/>
      <c r="DW7" s="26"/>
      <c r="DX7" s="26"/>
      <c r="DY7" s="26"/>
      <c r="DZ7" s="26"/>
      <c r="EA7" s="35"/>
      <c r="EB7" s="35"/>
      <c r="EC7" s="26"/>
      <c r="ED7" s="26"/>
      <c r="EE7" s="26"/>
      <c r="EF7" s="26"/>
      <c r="EG7" s="26"/>
      <c r="EH7" s="35"/>
      <c r="EI7" s="35"/>
      <c r="EJ7" s="26"/>
      <c r="EK7" s="26"/>
      <c r="EL7" s="26"/>
      <c r="EM7" s="26"/>
      <c r="EN7" s="26"/>
      <c r="EO7" s="35"/>
      <c r="EP7" s="35"/>
      <c r="EQ7" s="26"/>
      <c r="ER7" s="26"/>
      <c r="ES7" s="26"/>
      <c r="ET7" s="26"/>
      <c r="EU7" s="26"/>
      <c r="EV7" s="35"/>
      <c r="EW7" s="35"/>
      <c r="EX7" s="26"/>
      <c r="EY7" s="26"/>
      <c r="EZ7" s="26"/>
      <c r="FA7" s="26"/>
      <c r="FB7" s="26"/>
      <c r="FC7" s="35"/>
      <c r="FD7" s="35"/>
      <c r="FE7" s="26"/>
      <c r="FF7" s="26"/>
    </row>
    <row r="8" spans="1:162" ht="19.5" customHeight="1">
      <c r="A8" s="40" t="s">
        <v>33</v>
      </c>
      <c r="B8" s="40"/>
      <c r="C8" s="40"/>
      <c r="D8" s="40"/>
      <c r="E8" s="33" t="s">
        <v>16</v>
      </c>
      <c r="F8" s="33" t="s">
        <v>24</v>
      </c>
      <c r="G8" s="34" t="s">
        <v>19</v>
      </c>
      <c r="H8" s="34" t="s">
        <v>19</v>
      </c>
      <c r="I8" s="34" t="s">
        <v>19</v>
      </c>
      <c r="J8" s="34" t="s">
        <v>19</v>
      </c>
      <c r="K8" s="26"/>
      <c r="L8" s="35"/>
      <c r="M8" s="35"/>
      <c r="N8" s="34" t="s">
        <v>31</v>
      </c>
      <c r="O8" s="34" t="s">
        <v>31</v>
      </c>
      <c r="P8" s="34" t="s">
        <v>31</v>
      </c>
      <c r="Q8" s="34" t="s">
        <v>31</v>
      </c>
      <c r="R8" s="34" t="s">
        <v>31</v>
      </c>
      <c r="S8" s="33" t="s">
        <v>31</v>
      </c>
      <c r="T8" s="33" t="s">
        <v>31</v>
      </c>
      <c r="U8" s="34" t="s">
        <v>31</v>
      </c>
      <c r="V8" s="34" t="s">
        <v>34</v>
      </c>
      <c r="W8" s="34" t="s">
        <v>35</v>
      </c>
      <c r="X8" s="34" t="s">
        <v>35</v>
      </c>
      <c r="Y8" s="34" t="s">
        <v>35</v>
      </c>
      <c r="Z8" s="33" t="s">
        <v>36</v>
      </c>
      <c r="AA8" s="33" t="s">
        <v>36</v>
      </c>
      <c r="AB8" s="26"/>
      <c r="AC8" s="34" t="s">
        <v>29</v>
      </c>
      <c r="AD8" s="34" t="s">
        <v>29</v>
      </c>
      <c r="AE8" s="34" t="s">
        <v>37</v>
      </c>
      <c r="AF8" s="34" t="s">
        <v>29</v>
      </c>
      <c r="AG8" s="33" t="s">
        <v>29</v>
      </c>
      <c r="AH8" s="33" t="s">
        <v>38</v>
      </c>
      <c r="AI8" s="34" t="s">
        <v>38</v>
      </c>
      <c r="AJ8" s="34" t="s">
        <v>24</v>
      </c>
      <c r="AK8" s="34" t="s">
        <v>24</v>
      </c>
      <c r="AL8" s="34" t="s">
        <v>24</v>
      </c>
      <c r="AM8" s="34" t="s">
        <v>24</v>
      </c>
      <c r="AN8" s="33" t="s">
        <v>24</v>
      </c>
      <c r="AO8" s="35"/>
      <c r="AP8" s="26"/>
      <c r="AQ8" s="26"/>
      <c r="AR8" s="26"/>
      <c r="AS8" s="26"/>
      <c r="AT8" s="26"/>
      <c r="AU8" s="35"/>
      <c r="AV8" s="35"/>
      <c r="AW8" s="26"/>
      <c r="AX8" s="26"/>
      <c r="AY8" s="26"/>
      <c r="AZ8" s="26"/>
      <c r="BA8" s="26"/>
      <c r="BB8" s="35"/>
      <c r="BC8" s="35"/>
      <c r="BD8" s="26"/>
      <c r="BE8" s="26"/>
      <c r="BF8" s="26"/>
      <c r="BG8" s="26"/>
      <c r="BH8" s="26"/>
      <c r="BI8" s="35"/>
      <c r="BJ8" s="35"/>
      <c r="BK8" s="26"/>
      <c r="BL8" s="26"/>
      <c r="BM8" s="26"/>
      <c r="BN8" s="26"/>
      <c r="BO8" s="26"/>
      <c r="BP8" s="35"/>
      <c r="BQ8" s="35"/>
      <c r="BR8" s="26"/>
      <c r="BS8" s="26"/>
      <c r="BT8" s="26"/>
      <c r="BU8" s="26"/>
      <c r="BV8" s="26"/>
      <c r="BW8" s="35"/>
      <c r="BX8" s="35"/>
      <c r="BY8" s="26"/>
      <c r="BZ8" s="26"/>
      <c r="CA8" s="26"/>
      <c r="CB8" s="26"/>
      <c r="CC8" s="26"/>
      <c r="CD8" s="35"/>
      <c r="CE8" s="35"/>
      <c r="CF8" s="26"/>
      <c r="CG8" s="26"/>
      <c r="CH8" s="26"/>
      <c r="CI8" s="26"/>
      <c r="CJ8" s="26"/>
      <c r="CK8" s="35"/>
      <c r="CL8" s="35"/>
      <c r="CM8" s="26"/>
      <c r="CN8" s="26"/>
      <c r="CO8" s="26"/>
      <c r="CP8" s="26"/>
      <c r="CQ8" s="26"/>
      <c r="CR8" s="35"/>
      <c r="CS8" s="35"/>
      <c r="CT8" s="26"/>
      <c r="CU8" s="26"/>
      <c r="CV8" s="26"/>
      <c r="CW8" s="26"/>
      <c r="CX8" s="26"/>
      <c r="CY8" s="35"/>
      <c r="CZ8" s="35"/>
      <c r="DA8" s="26"/>
      <c r="DB8" s="26"/>
      <c r="DC8" s="26"/>
      <c r="DD8" s="26"/>
      <c r="DE8" s="26"/>
      <c r="DF8" s="35"/>
      <c r="DG8" s="35"/>
      <c r="DH8" s="26"/>
      <c r="DI8" s="26"/>
      <c r="DJ8" s="26"/>
      <c r="DK8" s="26"/>
      <c r="DL8" s="26"/>
      <c r="DM8" s="35"/>
      <c r="DN8" s="35"/>
      <c r="DO8" s="26"/>
      <c r="DP8" s="26"/>
      <c r="DQ8" s="26"/>
      <c r="DR8" s="26"/>
      <c r="DS8" s="26"/>
      <c r="DT8" s="35"/>
      <c r="DU8" s="35"/>
      <c r="DV8" s="26"/>
      <c r="DW8" s="26"/>
      <c r="DX8" s="26"/>
      <c r="DY8" s="26"/>
      <c r="DZ8" s="26"/>
      <c r="EA8" s="35"/>
      <c r="EB8" s="35"/>
      <c r="EC8" s="26"/>
      <c r="ED8" s="26"/>
      <c r="EE8" s="26"/>
      <c r="EF8" s="26"/>
      <c r="EG8" s="26"/>
      <c r="EH8" s="35"/>
      <c r="EI8" s="35"/>
      <c r="EJ8" s="26"/>
      <c r="EK8" s="26"/>
      <c r="EL8" s="26"/>
      <c r="EM8" s="26"/>
      <c r="EN8" s="26"/>
      <c r="EO8" s="35"/>
      <c r="EP8" s="35"/>
      <c r="EQ8" s="26"/>
      <c r="ER8" s="26"/>
      <c r="ES8" s="26"/>
      <c r="ET8" s="26"/>
      <c r="EU8" s="26"/>
      <c r="EV8" s="35"/>
      <c r="EW8" s="35"/>
      <c r="EX8" s="26"/>
      <c r="EY8" s="26"/>
      <c r="EZ8" s="26"/>
      <c r="FA8" s="26"/>
      <c r="FB8" s="26"/>
      <c r="FC8" s="35"/>
      <c r="FD8" s="35"/>
      <c r="FE8" s="26"/>
      <c r="FF8" s="26"/>
    </row>
    <row r="9" spans="1:162" ht="19.5" customHeight="1">
      <c r="A9" s="40"/>
      <c r="B9" s="40"/>
      <c r="C9" s="40"/>
      <c r="D9" s="40"/>
      <c r="E9" s="35"/>
      <c r="F9" s="33" t="s">
        <v>16</v>
      </c>
      <c r="G9" s="34" t="s">
        <v>17</v>
      </c>
      <c r="H9" s="34" t="s">
        <v>17</v>
      </c>
      <c r="I9" s="34" t="s">
        <v>17</v>
      </c>
      <c r="J9" s="34" t="s">
        <v>17</v>
      </c>
      <c r="K9" s="34" t="s">
        <v>17</v>
      </c>
      <c r="L9" s="33" t="s">
        <v>17</v>
      </c>
      <c r="M9" s="33" t="s">
        <v>17</v>
      </c>
      <c r="N9" s="34" t="s">
        <v>17</v>
      </c>
      <c r="O9" s="34" t="s">
        <v>17</v>
      </c>
      <c r="P9" s="34" t="s">
        <v>17</v>
      </c>
      <c r="Q9" s="34" t="s">
        <v>17</v>
      </c>
      <c r="R9" s="34" t="s">
        <v>17</v>
      </c>
      <c r="S9" s="33" t="s">
        <v>17</v>
      </c>
      <c r="T9" s="33" t="s">
        <v>17</v>
      </c>
      <c r="U9" s="34" t="s">
        <v>18</v>
      </c>
      <c r="V9" s="34" t="s">
        <v>18</v>
      </c>
      <c r="W9" s="34" t="s">
        <v>18</v>
      </c>
      <c r="X9" s="34" t="s">
        <v>39</v>
      </c>
      <c r="Y9" s="34" t="s">
        <v>18</v>
      </c>
      <c r="Z9" s="33" t="s">
        <v>18</v>
      </c>
      <c r="AA9" s="33" t="s">
        <v>18</v>
      </c>
      <c r="AB9" s="34" t="s">
        <v>25</v>
      </c>
      <c r="AC9" s="34" t="s">
        <v>25</v>
      </c>
      <c r="AD9" s="34" t="s">
        <v>25</v>
      </c>
      <c r="AE9" s="34" t="s">
        <v>25</v>
      </c>
      <c r="AF9" s="34" t="s">
        <v>40</v>
      </c>
      <c r="AG9" s="33" t="s">
        <v>41</v>
      </c>
      <c r="AH9" s="33" t="s">
        <v>41</v>
      </c>
      <c r="AI9" s="34" t="s">
        <v>38</v>
      </c>
      <c r="AJ9" s="34" t="s">
        <v>42</v>
      </c>
      <c r="AK9" s="34" t="s">
        <v>42</v>
      </c>
      <c r="AL9" s="34" t="s">
        <v>42</v>
      </c>
      <c r="AM9" s="34" t="s">
        <v>42</v>
      </c>
      <c r="AN9" s="33" t="s">
        <v>42</v>
      </c>
      <c r="AO9" s="35"/>
      <c r="AP9" s="26"/>
      <c r="AQ9" s="26"/>
      <c r="AR9" s="26"/>
      <c r="AS9" s="26"/>
      <c r="AT9" s="26"/>
      <c r="AU9" s="35"/>
      <c r="AV9" s="35"/>
      <c r="AW9" s="26"/>
      <c r="AX9" s="26"/>
      <c r="AY9" s="26"/>
      <c r="AZ9" s="26"/>
      <c r="BA9" s="26"/>
      <c r="BB9" s="35"/>
      <c r="BC9" s="35"/>
      <c r="BD9" s="26"/>
      <c r="BE9" s="26"/>
      <c r="BF9" s="26"/>
      <c r="BG9" s="26"/>
      <c r="BH9" s="26"/>
      <c r="BI9" s="35"/>
      <c r="BJ9" s="35"/>
      <c r="BK9" s="26"/>
      <c r="BL9" s="26"/>
      <c r="BM9" s="26"/>
      <c r="BN9" s="26"/>
      <c r="BO9" s="26"/>
      <c r="BP9" s="35"/>
      <c r="BQ9" s="35"/>
      <c r="BR9" s="26"/>
      <c r="BS9" s="26"/>
      <c r="BT9" s="26"/>
      <c r="BU9" s="26"/>
      <c r="BV9" s="26"/>
      <c r="BW9" s="35"/>
      <c r="BX9" s="35"/>
      <c r="BY9" s="26"/>
      <c r="BZ9" s="26"/>
      <c r="CA9" s="26"/>
      <c r="CB9" s="26"/>
      <c r="CC9" s="26"/>
      <c r="CD9" s="35"/>
      <c r="CE9" s="35"/>
      <c r="CF9" s="26"/>
      <c r="CG9" s="26"/>
      <c r="CH9" s="26"/>
      <c r="CI9" s="26"/>
      <c r="CJ9" s="26"/>
      <c r="CK9" s="35"/>
      <c r="CL9" s="35"/>
      <c r="CM9" s="26"/>
      <c r="CN9" s="26"/>
      <c r="CO9" s="26"/>
      <c r="CP9" s="26"/>
      <c r="CQ9" s="26"/>
      <c r="CR9" s="35"/>
      <c r="CS9" s="35"/>
      <c r="CT9" s="26"/>
      <c r="CU9" s="26"/>
      <c r="CV9" s="26"/>
      <c r="CW9" s="26"/>
      <c r="CX9" s="26"/>
      <c r="CY9" s="35"/>
      <c r="CZ9" s="35"/>
      <c r="DA9" s="26"/>
      <c r="DB9" s="26"/>
      <c r="DC9" s="26"/>
      <c r="DD9" s="26"/>
      <c r="DE9" s="26"/>
      <c r="DF9" s="35"/>
      <c r="DG9" s="35"/>
      <c r="DH9" s="26"/>
      <c r="DI9" s="26"/>
      <c r="DJ9" s="26"/>
      <c r="DK9" s="26"/>
      <c r="DL9" s="26"/>
      <c r="DM9" s="35"/>
      <c r="DN9" s="35"/>
      <c r="DO9" s="26"/>
      <c r="DP9" s="26"/>
      <c r="DQ9" s="26"/>
      <c r="DR9" s="26"/>
      <c r="DS9" s="26"/>
      <c r="DT9" s="35"/>
      <c r="DU9" s="35"/>
      <c r="DV9" s="26"/>
      <c r="DW9" s="26"/>
      <c r="DX9" s="26"/>
      <c r="DY9" s="26"/>
      <c r="DZ9" s="26"/>
      <c r="EA9" s="35"/>
      <c r="EB9" s="35"/>
      <c r="EC9" s="26"/>
      <c r="ED9" s="26"/>
      <c r="EE9" s="26"/>
      <c r="EF9" s="26"/>
      <c r="EG9" s="26"/>
      <c r="EH9" s="35"/>
      <c r="EI9" s="35"/>
      <c r="EJ9" s="26"/>
      <c r="EK9" s="26"/>
      <c r="EL9" s="26"/>
      <c r="EM9" s="26"/>
      <c r="EN9" s="26"/>
      <c r="EO9" s="35"/>
      <c r="EP9" s="35"/>
      <c r="EQ9" s="26"/>
      <c r="ER9" s="26"/>
      <c r="ES9" s="26"/>
      <c r="ET9" s="26"/>
      <c r="EU9" s="26"/>
      <c r="EV9" s="35"/>
      <c r="EW9" s="35"/>
      <c r="EX9" s="26"/>
      <c r="EY9" s="26"/>
      <c r="EZ9" s="26"/>
      <c r="FA9" s="26"/>
      <c r="FB9" s="26"/>
      <c r="FC9" s="35"/>
      <c r="FD9" s="35"/>
      <c r="FE9" s="26"/>
      <c r="FF9" s="26"/>
    </row>
    <row r="11" spans="1:162" ht="15" customHeight="1">
      <c r="A11" s="15" t="s">
        <v>43</v>
      </c>
    </row>
    <row r="12" spans="1:162" ht="15" customHeight="1">
      <c r="A12" s="16" t="s">
        <v>44</v>
      </c>
      <c r="B12" s="16" t="s">
        <v>45</v>
      </c>
      <c r="C12" s="16" t="s">
        <v>46</v>
      </c>
      <c r="D12" s="16" t="s">
        <v>47</v>
      </c>
    </row>
    <row r="13" spans="1:162" ht="15" customHeight="1">
      <c r="A13" s="17" t="s">
        <v>48</v>
      </c>
      <c r="B13" s="17" t="s">
        <v>49</v>
      </c>
      <c r="C13" s="26" t="str">
        <f t="shared" ref="C13:C24" si="0">IF(OR($A13="",$B13=""),"",UPPER(LEFT($B13,1)&amp;LEFT($A13,1)))</f>
        <v>TG</v>
      </c>
      <c r="D13" s="17"/>
    </row>
    <row r="14" spans="1:162" ht="15" customHeight="1">
      <c r="A14" s="17" t="s">
        <v>50</v>
      </c>
      <c r="B14" s="17" t="s">
        <v>51</v>
      </c>
      <c r="C14" s="26" t="str">
        <f t="shared" si="0"/>
        <v>PS</v>
      </c>
      <c r="D14" s="17"/>
    </row>
    <row r="15" spans="1:162" ht="15" customHeight="1">
      <c r="A15" s="17" t="s">
        <v>52</v>
      </c>
      <c r="B15" s="17" t="s">
        <v>53</v>
      </c>
      <c r="C15" s="26" t="str">
        <f t="shared" si="0"/>
        <v>AV</v>
      </c>
      <c r="D15" s="17"/>
    </row>
    <row r="16" spans="1:162" ht="15" customHeight="1">
      <c r="A16" s="17" t="s">
        <v>54</v>
      </c>
      <c r="B16" s="17" t="s">
        <v>55</v>
      </c>
      <c r="C16" s="26" t="str">
        <f t="shared" si="0"/>
        <v>JM</v>
      </c>
      <c r="D16" s="17" t="s">
        <v>56</v>
      </c>
    </row>
    <row r="17" spans="1:4" ht="15" customHeight="1">
      <c r="A17" s="17" t="s">
        <v>57</v>
      </c>
      <c r="B17" s="17" t="s">
        <v>58</v>
      </c>
      <c r="C17" s="26" t="str">
        <f t="shared" si="0"/>
        <v>CM</v>
      </c>
      <c r="D17" s="17"/>
    </row>
    <row r="18" spans="1:4" ht="15" customHeight="1">
      <c r="A18" s="17" t="s">
        <v>59</v>
      </c>
      <c r="B18" s="17" t="s">
        <v>60</v>
      </c>
      <c r="C18" s="26" t="str">
        <f t="shared" si="0"/>
        <v>DK</v>
      </c>
      <c r="D18" s="17"/>
    </row>
    <row r="19" spans="1:4" ht="15" customHeight="1">
      <c r="A19" s="17" t="s">
        <v>61</v>
      </c>
      <c r="B19" s="17" t="s">
        <v>62</v>
      </c>
      <c r="C19" s="26" t="str">
        <f t="shared" si="0"/>
        <v>PR</v>
      </c>
      <c r="D19" s="17"/>
    </row>
    <row r="20" spans="1:4" ht="15" customHeight="1">
      <c r="A20" s="17" t="s">
        <v>63</v>
      </c>
      <c r="B20" s="17" t="s">
        <v>64</v>
      </c>
      <c r="C20" s="26" t="str">
        <f t="shared" si="0"/>
        <v>SS</v>
      </c>
      <c r="D20" s="17"/>
    </row>
    <row r="21" spans="1:4" ht="15" customHeight="1">
      <c r="A21" s="17" t="s">
        <v>65</v>
      </c>
      <c r="B21" s="17" t="s">
        <v>66</v>
      </c>
      <c r="C21" s="26" t="str">
        <f t="shared" si="0"/>
        <v>IM</v>
      </c>
      <c r="D21" s="17"/>
    </row>
    <row r="22" spans="1:4" ht="15" customHeight="1">
      <c r="A22" s="17" t="s">
        <v>67</v>
      </c>
      <c r="B22" s="17" t="s">
        <v>68</v>
      </c>
      <c r="C22" s="26" t="str">
        <f t="shared" si="0"/>
        <v>IC</v>
      </c>
      <c r="D22" s="17"/>
    </row>
    <row r="23" spans="1:4" ht="15" customHeight="1">
      <c r="A23" s="17" t="s">
        <v>69</v>
      </c>
      <c r="B23" s="17" t="s">
        <v>49</v>
      </c>
      <c r="C23" s="26" t="str">
        <f t="shared" si="0"/>
        <v>TS</v>
      </c>
      <c r="D23" s="17"/>
    </row>
    <row r="24" spans="1:4" ht="15" customHeight="1">
      <c r="A24" s="17" t="s">
        <v>70</v>
      </c>
      <c r="B24" s="17" t="s">
        <v>71</v>
      </c>
      <c r="C24" s="26" t="str">
        <f t="shared" si="0"/>
        <v>TZ</v>
      </c>
      <c r="D24" s="17"/>
    </row>
    <row r="25" spans="1:4" ht="15" customHeight="1">
      <c r="A25" s="17" t="s">
        <v>72</v>
      </c>
      <c r="B25" s="17" t="s">
        <v>73</v>
      </c>
      <c r="C25" s="26" t="s">
        <v>21</v>
      </c>
      <c r="D25" s="17"/>
    </row>
    <row r="26" spans="1:4" ht="15" customHeight="1">
      <c r="A26" s="17" t="s">
        <v>74</v>
      </c>
      <c r="B26" s="17" t="s">
        <v>75</v>
      </c>
      <c r="C26" s="26" t="str">
        <f>IF(OR($A26="",$B26=""),"",UPPER(LEFT($B26,1)&amp;LEFT($A26,1)))</f>
        <v>AK</v>
      </c>
      <c r="D26" s="17"/>
    </row>
    <row r="27" spans="1:4" ht="15" customHeight="1">
      <c r="A27" s="17" t="s">
        <v>76</v>
      </c>
      <c r="B27" s="17" t="s">
        <v>77</v>
      </c>
      <c r="C27" s="26" t="str">
        <f>IF(OR($A27="",$B27=""),"",UPPER(LEFT($B27,1)&amp;LEFT($A27,1)))</f>
        <v>EM</v>
      </c>
      <c r="D27" s="17"/>
    </row>
    <row r="28" spans="1:4" ht="15" customHeight="1">
      <c r="A28" s="17" t="s">
        <v>78</v>
      </c>
      <c r="B28" s="17" t="s">
        <v>49</v>
      </c>
      <c r="C28" s="26" t="str">
        <f>IF(OR($A28="",$B28=""),"",UPPER(LEFT($B28,1)&amp;LEFT($A28,1)))</f>
        <v>TH</v>
      </c>
      <c r="D28" s="17"/>
    </row>
    <row r="29" spans="1:4" ht="15" customHeight="1">
      <c r="A29" s="17" t="s">
        <v>79</v>
      </c>
      <c r="B29" s="17" t="s">
        <v>80</v>
      </c>
      <c r="C29" s="26" t="s">
        <v>35</v>
      </c>
      <c r="D29" s="17"/>
    </row>
    <row r="30" spans="1:4" ht="15" customHeight="1">
      <c r="A30" s="17" t="s">
        <v>81</v>
      </c>
      <c r="B30" s="17" t="s">
        <v>51</v>
      </c>
      <c r="C30" s="26" t="str">
        <f>IF(OR($A30="",$B30=""),"",UPPER(LEFT($B30,1)&amp;LEFT($A30,1)))</f>
        <v>PC</v>
      </c>
      <c r="D30" s="17"/>
    </row>
    <row r="31" spans="1:4" ht="15" customHeight="1">
      <c r="A31" s="17" t="s">
        <v>82</v>
      </c>
      <c r="B31" s="17" t="s">
        <v>64</v>
      </c>
      <c r="C31" s="26" t="str">
        <f>IF(OR($A31="",$B31=""),"",UPPER(LEFT($B31,1)&amp;LEFT($A31,1)))</f>
        <v>SL</v>
      </c>
      <c r="D31" s="17"/>
    </row>
    <row r="32" spans="1:4" ht="15" customHeight="1">
      <c r="A32" s="17" t="s">
        <v>83</v>
      </c>
      <c r="B32" s="17" t="s">
        <v>84</v>
      </c>
      <c r="C32" s="26" t="str">
        <f>IF(OR($A32="",$B32=""),"",UPPER(LEFT($B32,1)&amp;LEFT($A32,1)))</f>
        <v>AW</v>
      </c>
      <c r="D32" s="17"/>
    </row>
    <row r="33" spans="1:4" ht="15" customHeight="1">
      <c r="A33" s="17" t="s">
        <v>85</v>
      </c>
      <c r="B33" s="17"/>
      <c r="C33" s="26" t="s">
        <v>85</v>
      </c>
      <c r="D33" s="17"/>
    </row>
    <row r="34" spans="1:4" ht="15" customHeight="1">
      <c r="A34" s="17" t="s">
        <v>26</v>
      </c>
      <c r="B34" s="17"/>
      <c r="C34" s="26" t="s">
        <v>26</v>
      </c>
      <c r="D34" s="17"/>
    </row>
    <row r="35" spans="1:4" ht="15" customHeight="1">
      <c r="A35" s="17" t="s">
        <v>86</v>
      </c>
      <c r="B35" s="17" t="s">
        <v>87</v>
      </c>
      <c r="C35" s="26" t="s">
        <v>29</v>
      </c>
      <c r="D35" s="17" t="s">
        <v>88</v>
      </c>
    </row>
    <row r="36" spans="1:4" ht="15" customHeight="1">
      <c r="A36" s="17" t="s">
        <v>89</v>
      </c>
      <c r="B36" s="17" t="s">
        <v>90</v>
      </c>
      <c r="C36" s="26" t="str">
        <f>IF(OR($A36="",$B36=""),"",UPPER(LEFT($B36,1)&amp;LEFT($A36,1)))</f>
        <v>MB</v>
      </c>
      <c r="D36" s="17"/>
    </row>
    <row r="37" spans="1:4" ht="15" customHeight="1">
      <c r="A37" s="17" t="s">
        <v>91</v>
      </c>
      <c r="B37" s="17" t="s">
        <v>92</v>
      </c>
      <c r="C37" s="26" t="s">
        <v>40</v>
      </c>
      <c r="D37" s="17"/>
    </row>
    <row r="38" spans="1:4" ht="15" customHeight="1">
      <c r="A38" s="17" t="s">
        <v>93</v>
      </c>
      <c r="B38" s="17" t="s">
        <v>94</v>
      </c>
      <c r="C38" s="26" t="s">
        <v>42</v>
      </c>
      <c r="D38" s="17"/>
    </row>
    <row r="39" spans="1:4" ht="15" customHeight="1">
      <c r="A39" s="17"/>
      <c r="B39" s="17"/>
      <c r="C39" s="26" t="str">
        <f t="shared" ref="C39:C70" si="1">IF(OR($A39="",$B39=""),"",UPPER(LEFT($B39,1)&amp;LEFT($A39,1)))</f>
        <v/>
      </c>
      <c r="D39" s="17"/>
    </row>
    <row r="40" spans="1:4" ht="15" customHeight="1">
      <c r="A40" s="17"/>
      <c r="B40" s="17"/>
      <c r="C40" s="26" t="str">
        <f t="shared" si="1"/>
        <v/>
      </c>
      <c r="D40" s="17"/>
    </row>
    <row r="41" spans="1:4" ht="15" customHeight="1">
      <c r="A41" s="17"/>
      <c r="B41" s="17"/>
      <c r="C41" s="26" t="str">
        <f t="shared" si="1"/>
        <v/>
      </c>
      <c r="D41" s="17"/>
    </row>
    <row r="42" spans="1:4" ht="15" customHeight="1">
      <c r="A42" s="17"/>
      <c r="B42" s="17"/>
      <c r="C42" s="26" t="str">
        <f t="shared" si="1"/>
        <v/>
      </c>
      <c r="D42" s="17"/>
    </row>
    <row r="43" spans="1:4" ht="15" customHeight="1">
      <c r="A43" s="17"/>
      <c r="B43" s="17"/>
      <c r="C43" s="26" t="str">
        <f t="shared" si="1"/>
        <v/>
      </c>
      <c r="D43" s="17"/>
    </row>
    <row r="44" spans="1:4" ht="15" customHeight="1">
      <c r="A44" s="17"/>
      <c r="B44" s="17"/>
      <c r="C44" s="26" t="str">
        <f t="shared" si="1"/>
        <v/>
      </c>
      <c r="D44" s="17"/>
    </row>
    <row r="45" spans="1:4" ht="15" customHeight="1">
      <c r="A45" s="17"/>
      <c r="B45" s="17"/>
      <c r="C45" s="26" t="str">
        <f t="shared" si="1"/>
        <v/>
      </c>
      <c r="D45" s="17"/>
    </row>
    <row r="46" spans="1:4" ht="15" customHeight="1">
      <c r="A46" s="17"/>
      <c r="B46" s="17"/>
      <c r="C46" s="26" t="str">
        <f t="shared" si="1"/>
        <v/>
      </c>
      <c r="D46" s="17"/>
    </row>
    <row r="47" spans="1:4" ht="15" customHeight="1">
      <c r="A47" s="17"/>
      <c r="B47" s="17"/>
      <c r="C47" s="26" t="str">
        <f t="shared" si="1"/>
        <v/>
      </c>
      <c r="D47" s="17"/>
    </row>
    <row r="48" spans="1:4" ht="15" customHeight="1">
      <c r="A48" s="17"/>
      <c r="B48" s="17"/>
      <c r="C48" s="26" t="str">
        <f t="shared" si="1"/>
        <v/>
      </c>
      <c r="D48" s="17"/>
    </row>
    <row r="49" spans="1:4" ht="15" customHeight="1">
      <c r="A49" s="17"/>
      <c r="B49" s="17"/>
      <c r="C49" s="26" t="str">
        <f t="shared" si="1"/>
        <v/>
      </c>
      <c r="D49" s="17"/>
    </row>
    <row r="50" spans="1:4" ht="15" customHeight="1">
      <c r="A50" s="17"/>
      <c r="B50" s="17"/>
      <c r="C50" s="26" t="str">
        <f t="shared" si="1"/>
        <v/>
      </c>
      <c r="D50" s="17"/>
    </row>
    <row r="51" spans="1:4" ht="15" customHeight="1">
      <c r="A51" s="17"/>
      <c r="B51" s="17"/>
      <c r="C51" s="26" t="str">
        <f t="shared" si="1"/>
        <v/>
      </c>
      <c r="D51" s="17"/>
    </row>
    <row r="52" spans="1:4" ht="15" customHeight="1">
      <c r="A52" s="17"/>
      <c r="B52" s="17"/>
      <c r="C52" s="26" t="str">
        <f t="shared" si="1"/>
        <v/>
      </c>
      <c r="D52" s="17"/>
    </row>
    <row r="53" spans="1:4" ht="15" customHeight="1">
      <c r="A53" s="17"/>
      <c r="B53" s="17"/>
      <c r="C53" s="26" t="str">
        <f t="shared" si="1"/>
        <v/>
      </c>
      <c r="D53" s="17"/>
    </row>
    <row r="54" spans="1:4" ht="15" customHeight="1">
      <c r="A54" s="17"/>
      <c r="B54" s="17"/>
      <c r="C54" s="26" t="str">
        <f t="shared" si="1"/>
        <v/>
      </c>
      <c r="D54" s="17"/>
    </row>
    <row r="55" spans="1:4" ht="15" customHeight="1">
      <c r="A55" s="17"/>
      <c r="B55" s="17"/>
      <c r="C55" s="26" t="str">
        <f t="shared" si="1"/>
        <v/>
      </c>
      <c r="D55" s="17"/>
    </row>
    <row r="56" spans="1:4" ht="15" customHeight="1">
      <c r="A56" s="17"/>
      <c r="B56" s="17"/>
      <c r="C56" s="26" t="str">
        <f t="shared" si="1"/>
        <v/>
      </c>
      <c r="D56" s="17"/>
    </row>
    <row r="57" spans="1:4" ht="15" customHeight="1">
      <c r="A57" s="17"/>
      <c r="B57" s="17"/>
      <c r="C57" s="26" t="str">
        <f t="shared" si="1"/>
        <v/>
      </c>
      <c r="D57" s="17"/>
    </row>
    <row r="58" spans="1:4" ht="15" customHeight="1">
      <c r="A58" s="17"/>
      <c r="B58" s="17"/>
      <c r="C58" s="26" t="str">
        <f t="shared" si="1"/>
        <v/>
      </c>
      <c r="D58" s="17"/>
    </row>
    <row r="59" spans="1:4" ht="15" customHeight="1">
      <c r="A59" s="17"/>
      <c r="B59" s="17"/>
      <c r="C59" s="26" t="str">
        <f t="shared" si="1"/>
        <v/>
      </c>
      <c r="D59" s="17"/>
    </row>
    <row r="60" spans="1:4" ht="15" customHeight="1">
      <c r="A60" s="17"/>
      <c r="B60" s="17"/>
      <c r="C60" s="26" t="str">
        <f t="shared" si="1"/>
        <v/>
      </c>
      <c r="D60" s="17"/>
    </row>
    <row r="61" spans="1:4" ht="15" customHeight="1">
      <c r="A61" s="17"/>
      <c r="B61" s="17"/>
      <c r="C61" s="26" t="str">
        <f t="shared" si="1"/>
        <v/>
      </c>
      <c r="D61" s="17"/>
    </row>
    <row r="62" spans="1:4" ht="15" customHeight="1">
      <c r="A62" s="17"/>
      <c r="B62" s="17"/>
      <c r="C62" s="26" t="str">
        <f t="shared" si="1"/>
        <v/>
      </c>
      <c r="D62" s="17"/>
    </row>
    <row r="63" spans="1:4" ht="15" customHeight="1">
      <c r="A63" s="17"/>
      <c r="B63" s="17"/>
      <c r="C63" s="26" t="str">
        <f t="shared" si="1"/>
        <v/>
      </c>
      <c r="D63" s="17"/>
    </row>
    <row r="64" spans="1:4" ht="15" customHeight="1">
      <c r="A64" s="17"/>
      <c r="B64" s="17"/>
      <c r="C64" s="26" t="str">
        <f t="shared" si="1"/>
        <v/>
      </c>
      <c r="D64" s="17"/>
    </row>
    <row r="65" spans="1:4" ht="15" customHeight="1">
      <c r="A65" s="17"/>
      <c r="B65" s="17"/>
      <c r="C65" s="26" t="str">
        <f t="shared" si="1"/>
        <v/>
      </c>
      <c r="D65" s="17"/>
    </row>
    <row r="66" spans="1:4" ht="15" customHeight="1">
      <c r="A66" s="17"/>
      <c r="B66" s="17"/>
      <c r="C66" s="26" t="str">
        <f t="shared" si="1"/>
        <v/>
      </c>
      <c r="D66" s="17"/>
    </row>
    <row r="67" spans="1:4" ht="15" customHeight="1">
      <c r="A67" s="17"/>
      <c r="B67" s="17"/>
      <c r="C67" s="26" t="str">
        <f t="shared" si="1"/>
        <v/>
      </c>
      <c r="D67" s="17"/>
    </row>
    <row r="68" spans="1:4" ht="15" customHeight="1">
      <c r="A68" s="17"/>
      <c r="B68" s="17"/>
      <c r="C68" s="26" t="str">
        <f t="shared" si="1"/>
        <v/>
      </c>
      <c r="D68" s="17"/>
    </row>
    <row r="69" spans="1:4" ht="15" customHeight="1">
      <c r="A69" s="17"/>
      <c r="B69" s="17"/>
      <c r="C69" s="26" t="str">
        <f t="shared" si="1"/>
        <v/>
      </c>
      <c r="D69" s="17"/>
    </row>
    <row r="70" spans="1:4" ht="15" customHeight="1">
      <c r="A70" s="17"/>
      <c r="B70" s="17"/>
      <c r="C70" s="26" t="str">
        <f t="shared" si="1"/>
        <v/>
      </c>
      <c r="D70" s="17"/>
    </row>
  </sheetData>
  <mergeCells count="9">
    <mergeCell ref="ER1:FF1"/>
    <mergeCell ref="A4:D5"/>
    <mergeCell ref="A6:D7"/>
    <mergeCell ref="A8:D9"/>
    <mergeCell ref="E1:Y1"/>
    <mergeCell ref="Z1:BD1"/>
    <mergeCell ref="BE1:CH1"/>
    <mergeCell ref="CI1:DM1"/>
    <mergeCell ref="DN1:EQ1"/>
  </mergeCells>
  <conditionalFormatting sqref="C13:C70">
    <cfRule type="duplicateValues" dxfId="12" priority="2"/>
  </conditionalFormatting>
  <dataValidations count="1">
    <dataValidation type="list" allowBlank="1" sqref="E4:FF9" xr:uid="{00000000-0002-0000-0700-000000000000}">
      <formula1>$C$13:$C$70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5"/>
  <sheetViews>
    <sheetView tabSelected="1" topLeftCell="I1" zoomScaleNormal="100" workbookViewId="0">
      <pane ySplit="4" topLeftCell="A5" activePane="bottomLeft" state="frozen"/>
      <selection pane="bottomLeft" activeCell="I15" sqref="I15"/>
    </sheetView>
  </sheetViews>
  <sheetFormatPr defaultColWidth="8.5703125" defaultRowHeight="15" outlineLevelRow="1"/>
  <cols>
    <col min="1" max="1" width="6" customWidth="1"/>
    <col min="2" max="3" width="11" customWidth="1"/>
    <col min="4" max="4" width="8" customWidth="1"/>
    <col min="5" max="5" width="16" customWidth="1"/>
    <col min="6" max="6" width="14" customWidth="1"/>
    <col min="7" max="7" width="16" customWidth="1"/>
    <col min="8" max="8" width="10" customWidth="1"/>
    <col min="9" max="9" width="16" customWidth="1"/>
    <col min="10" max="11" width="12" customWidth="1"/>
    <col min="12" max="12" width="8" customWidth="1"/>
    <col min="13" max="13" width="46" customWidth="1"/>
    <col min="14" max="15" width="12" customWidth="1"/>
    <col min="16" max="16" width="18" customWidth="1"/>
    <col min="17" max="17" width="24" customWidth="1"/>
    <col min="18" max="19" width="46" customWidth="1"/>
    <col min="20" max="21" width="10" customWidth="1"/>
  </cols>
  <sheetData>
    <row r="1" spans="1:22" ht="17.25" customHeight="1">
      <c r="A1" s="1" t="s">
        <v>95</v>
      </c>
    </row>
    <row r="2" spans="1:22" ht="15" customHeight="1">
      <c r="A2" s="2" t="s">
        <v>96</v>
      </c>
    </row>
    <row r="3" spans="1:22" ht="15" customHeight="1">
      <c r="A3" s="36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 t="s">
        <v>98</v>
      </c>
      <c r="O3" s="37"/>
      <c r="P3" s="37"/>
      <c r="Q3" s="37"/>
      <c r="R3" s="37"/>
      <c r="S3" s="37"/>
      <c r="T3" s="37"/>
      <c r="U3" s="37"/>
      <c r="V3" s="37"/>
    </row>
    <row r="4" spans="1:22" ht="30" customHeight="1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  <c r="M4" s="3" t="s">
        <v>97</v>
      </c>
      <c r="N4" s="4" t="s">
        <v>111</v>
      </c>
      <c r="O4" s="5" t="s">
        <v>112</v>
      </c>
      <c r="P4" s="5" t="s">
        <v>113</v>
      </c>
      <c r="Q4" s="5" t="s">
        <v>114</v>
      </c>
      <c r="R4" s="5" t="s">
        <v>115</v>
      </c>
      <c r="S4" s="5" t="s">
        <v>116</v>
      </c>
      <c r="T4" s="5" t="s">
        <v>117</v>
      </c>
      <c r="U4" s="5" t="s">
        <v>118</v>
      </c>
      <c r="V4" s="5" t="s">
        <v>119</v>
      </c>
    </row>
    <row r="5" spans="1:22" ht="27.75" customHeight="1">
      <c r="A5" s="6">
        <v>1</v>
      </c>
      <c r="B5" s="7">
        <v>46220</v>
      </c>
      <c r="C5" s="6" t="str">
        <f t="shared" ref="C5:C73" si="0">IF(B5="","",CHOOSE(WEEKDAY(B5,2),"Montag","Dienstag","Mittwoch","Donnerstag","Freitag","Samstag","Sonntag"))</f>
        <v>Freitag</v>
      </c>
      <c r="D5" s="8">
        <v>0.31597222222222199</v>
      </c>
      <c r="E5" s="6" t="s">
        <v>120</v>
      </c>
      <c r="F5" s="6" t="s">
        <v>121</v>
      </c>
      <c r="G5" s="6" t="s">
        <v>122</v>
      </c>
      <c r="H5" s="6">
        <v>3507</v>
      </c>
      <c r="I5" s="6" t="s">
        <v>123</v>
      </c>
      <c r="J5" s="6" t="s">
        <v>124</v>
      </c>
      <c r="K5" s="9">
        <v>65.260000000000005</v>
      </c>
      <c r="L5" s="10"/>
      <c r="M5" s="11" t="s">
        <v>125</v>
      </c>
      <c r="N5" s="12">
        <v>46220</v>
      </c>
      <c r="O5" s="8">
        <v>0.35416666666666702</v>
      </c>
      <c r="P5" s="6" t="s">
        <v>126</v>
      </c>
      <c r="Q5" s="6"/>
      <c r="R5" s="6"/>
      <c r="S5" s="11" t="s">
        <v>127</v>
      </c>
      <c r="T5" s="11" t="s">
        <v>128</v>
      </c>
      <c r="U5" s="10"/>
      <c r="V5" s="10" t="s">
        <v>129</v>
      </c>
    </row>
    <row r="6" spans="1:22" ht="15" customHeight="1">
      <c r="A6" s="6">
        <v>2</v>
      </c>
      <c r="B6" s="7">
        <v>46222</v>
      </c>
      <c r="C6" s="6" t="str">
        <f t="shared" si="0"/>
        <v>Sonntag</v>
      </c>
      <c r="D6" s="8">
        <v>0.42916666666666697</v>
      </c>
      <c r="E6" s="6" t="s">
        <v>130</v>
      </c>
      <c r="F6" s="6" t="s">
        <v>121</v>
      </c>
      <c r="G6" s="6" t="s">
        <v>131</v>
      </c>
      <c r="H6" s="6">
        <v>3507</v>
      </c>
      <c r="I6" s="6" t="s">
        <v>123</v>
      </c>
      <c r="J6" s="6" t="s">
        <v>124</v>
      </c>
      <c r="K6" s="9">
        <v>65.099999999999994</v>
      </c>
      <c r="L6" s="10"/>
      <c r="M6" s="11" t="s">
        <v>132</v>
      </c>
      <c r="N6" s="12">
        <v>46222</v>
      </c>
      <c r="O6" s="8">
        <v>0.5</v>
      </c>
      <c r="P6" s="6" t="s">
        <v>133</v>
      </c>
      <c r="Q6" s="6"/>
      <c r="R6" s="6"/>
      <c r="S6" s="11" t="s">
        <v>134</v>
      </c>
      <c r="T6" s="11" t="s">
        <v>135</v>
      </c>
      <c r="U6" s="10"/>
      <c r="V6" s="10"/>
    </row>
    <row r="7" spans="1:22" ht="27.75" customHeight="1">
      <c r="A7" s="6">
        <v>3</v>
      </c>
      <c r="B7" s="7">
        <v>46222</v>
      </c>
      <c r="C7" s="6" t="str">
        <f t="shared" si="0"/>
        <v>Sonntag</v>
      </c>
      <c r="D7" s="8">
        <v>0.45902777777777798</v>
      </c>
      <c r="E7" s="6" t="s">
        <v>136</v>
      </c>
      <c r="F7" s="6" t="s">
        <v>121</v>
      </c>
      <c r="G7" s="6" t="s">
        <v>137</v>
      </c>
      <c r="H7" s="6">
        <v>3507</v>
      </c>
      <c r="I7" s="6" t="s">
        <v>138</v>
      </c>
      <c r="J7" s="6" t="s">
        <v>139</v>
      </c>
      <c r="K7" s="6" t="s">
        <v>140</v>
      </c>
      <c r="L7" s="10"/>
      <c r="M7" s="11" t="s">
        <v>141</v>
      </c>
      <c r="N7" s="12">
        <v>46222</v>
      </c>
      <c r="O7" s="8">
        <v>0.63263888888888897</v>
      </c>
      <c r="P7" s="6" t="s">
        <v>133</v>
      </c>
      <c r="Q7" s="6"/>
      <c r="R7" s="6"/>
      <c r="S7" s="11" t="s">
        <v>142</v>
      </c>
      <c r="T7" s="11" t="s">
        <v>143</v>
      </c>
      <c r="U7" s="10"/>
      <c r="V7" s="10"/>
    </row>
    <row r="8" spans="1:22" ht="15" customHeight="1">
      <c r="A8" s="6">
        <v>4</v>
      </c>
      <c r="B8" s="7">
        <v>46222</v>
      </c>
      <c r="C8" s="6" t="str">
        <f t="shared" si="0"/>
        <v>Sonntag</v>
      </c>
      <c r="D8" s="8">
        <v>0.59583333333333299</v>
      </c>
      <c r="E8" s="6" t="s">
        <v>130</v>
      </c>
      <c r="F8" s="6" t="s">
        <v>121</v>
      </c>
      <c r="G8" s="6" t="s">
        <v>131</v>
      </c>
      <c r="H8" s="6">
        <v>3507</v>
      </c>
      <c r="I8" s="6" t="s">
        <v>123</v>
      </c>
      <c r="J8" s="6" t="s">
        <v>124</v>
      </c>
      <c r="K8" s="9">
        <v>65.099999999999994</v>
      </c>
      <c r="L8" s="10"/>
      <c r="M8" s="11" t="s">
        <v>144</v>
      </c>
      <c r="N8" s="12">
        <v>46222</v>
      </c>
      <c r="O8" s="8">
        <v>0.71875</v>
      </c>
      <c r="P8" s="6" t="s">
        <v>133</v>
      </c>
      <c r="Q8" s="6"/>
      <c r="R8" s="6"/>
      <c r="S8" s="11" t="s">
        <v>145</v>
      </c>
      <c r="T8" s="11" t="s">
        <v>146</v>
      </c>
      <c r="U8" s="10"/>
      <c r="V8" s="10"/>
    </row>
    <row r="9" spans="1:22" ht="15" customHeight="1">
      <c r="A9" s="6">
        <v>5</v>
      </c>
      <c r="B9" s="7">
        <v>46223</v>
      </c>
      <c r="C9" s="6" t="str">
        <f t="shared" si="0"/>
        <v>Montag</v>
      </c>
      <c r="D9" s="8">
        <v>0.39583333333333298</v>
      </c>
      <c r="E9" s="6" t="s">
        <v>130</v>
      </c>
      <c r="F9" s="6" t="s">
        <v>121</v>
      </c>
      <c r="G9" s="6" t="s">
        <v>131</v>
      </c>
      <c r="H9" s="6">
        <v>3507</v>
      </c>
      <c r="I9" s="6" t="s">
        <v>123</v>
      </c>
      <c r="J9" s="6"/>
      <c r="K9" s="9">
        <v>61.991999999999997</v>
      </c>
      <c r="L9" s="10"/>
      <c r="M9" s="11" t="s">
        <v>147</v>
      </c>
      <c r="N9" s="12">
        <v>46223</v>
      </c>
      <c r="O9" s="8">
        <v>0.34375</v>
      </c>
      <c r="P9" s="6" t="s">
        <v>61</v>
      </c>
      <c r="Q9" s="6"/>
      <c r="R9" s="6"/>
      <c r="S9" s="11" t="s">
        <v>148</v>
      </c>
      <c r="T9" s="11" t="s">
        <v>149</v>
      </c>
      <c r="U9" s="10"/>
      <c r="V9" s="10"/>
    </row>
    <row r="10" spans="1:22" ht="15" customHeight="1">
      <c r="A10" s="6">
        <v>6</v>
      </c>
      <c r="B10" s="7">
        <v>46224</v>
      </c>
      <c r="C10" s="6" t="str">
        <f t="shared" si="0"/>
        <v>Dienstag</v>
      </c>
      <c r="D10" s="8">
        <v>0.37847222222222199</v>
      </c>
      <c r="E10" s="6" t="s">
        <v>150</v>
      </c>
      <c r="F10" s="6" t="s">
        <v>121</v>
      </c>
      <c r="G10" s="6" t="s">
        <v>151</v>
      </c>
      <c r="H10" s="6">
        <v>3507</v>
      </c>
      <c r="I10" s="6" t="s">
        <v>152</v>
      </c>
      <c r="J10" s="6"/>
      <c r="K10" s="9">
        <v>43.6</v>
      </c>
      <c r="L10" s="10"/>
      <c r="M10" s="11" t="s">
        <v>153</v>
      </c>
      <c r="N10" s="12">
        <v>46223</v>
      </c>
      <c r="O10" s="8">
        <v>0.59791666666666698</v>
      </c>
      <c r="P10" s="6" t="s">
        <v>61</v>
      </c>
      <c r="Q10" s="6"/>
      <c r="R10" s="6"/>
      <c r="S10" s="11" t="s">
        <v>154</v>
      </c>
      <c r="T10" s="11" t="s">
        <v>155</v>
      </c>
      <c r="U10" s="10" t="s">
        <v>156</v>
      </c>
      <c r="V10" s="10"/>
    </row>
    <row r="11" spans="1:22" ht="15" customHeight="1">
      <c r="A11" s="6" t="s">
        <v>157</v>
      </c>
      <c r="B11" s="7">
        <v>46224</v>
      </c>
      <c r="C11" s="6" t="str">
        <f t="shared" si="0"/>
        <v>Dienstag</v>
      </c>
      <c r="D11" s="8">
        <v>0.41736111111111102</v>
      </c>
      <c r="E11" s="6" t="s">
        <v>158</v>
      </c>
      <c r="F11" s="6" t="s">
        <v>159</v>
      </c>
      <c r="G11" s="6" t="s">
        <v>160</v>
      </c>
      <c r="H11" s="6">
        <v>3507</v>
      </c>
      <c r="I11" s="6" t="s">
        <v>138</v>
      </c>
      <c r="J11" s="6" t="s">
        <v>139</v>
      </c>
      <c r="K11" s="6" t="s">
        <v>161</v>
      </c>
      <c r="L11" s="10">
        <v>2</v>
      </c>
      <c r="M11" s="11" t="s">
        <v>162</v>
      </c>
      <c r="N11" s="12">
        <v>46224</v>
      </c>
      <c r="O11" s="8"/>
      <c r="P11" s="6"/>
      <c r="Q11" s="6"/>
      <c r="R11" s="6"/>
      <c r="S11" s="11"/>
      <c r="T11" s="11"/>
      <c r="U11" s="10"/>
      <c r="V11" s="10"/>
    </row>
    <row r="12" spans="1:22" ht="15" customHeight="1" outlineLevel="1">
      <c r="A12" s="6" t="s">
        <v>163</v>
      </c>
      <c r="B12" s="7">
        <v>46224</v>
      </c>
      <c r="C12" s="6" t="str">
        <f t="shared" ref="C12" si="1">IF(B12="","",CHOOSE(WEEKDAY(B12,2),"Montag","Dienstag","Mittwoch","Donnerstag","Freitag","Samstag","Sonntag"))</f>
        <v>Dienstag</v>
      </c>
      <c r="D12" s="8">
        <v>0.41736111111111102</v>
      </c>
      <c r="E12" s="6" t="s">
        <v>158</v>
      </c>
      <c r="F12" s="6" t="s">
        <v>159</v>
      </c>
      <c r="G12" s="6" t="s">
        <v>160</v>
      </c>
      <c r="H12" s="6">
        <v>3507</v>
      </c>
      <c r="I12" s="6" t="s">
        <v>138</v>
      </c>
      <c r="J12" s="6" t="s">
        <v>139</v>
      </c>
      <c r="K12" s="6" t="s">
        <v>161</v>
      </c>
      <c r="L12" s="10"/>
      <c r="M12" s="11" t="s">
        <v>162</v>
      </c>
      <c r="N12" s="12"/>
      <c r="O12" s="8"/>
      <c r="P12" s="6"/>
      <c r="Q12" s="6"/>
      <c r="R12" s="6"/>
      <c r="S12" s="11"/>
      <c r="T12" s="11"/>
      <c r="U12" s="10"/>
      <c r="V12" s="10"/>
    </row>
    <row r="13" spans="1:22" ht="15" customHeight="1">
      <c r="A13" s="6">
        <v>8</v>
      </c>
      <c r="B13" s="7">
        <v>46224</v>
      </c>
      <c r="C13" s="6" t="str">
        <f t="shared" si="0"/>
        <v>Dienstag</v>
      </c>
      <c r="D13" s="8">
        <v>0.59166666666666701</v>
      </c>
      <c r="E13" s="6" t="s">
        <v>164</v>
      </c>
      <c r="F13" s="6" t="s">
        <v>121</v>
      </c>
      <c r="G13" s="6" t="s">
        <v>165</v>
      </c>
      <c r="H13" s="6">
        <v>3507</v>
      </c>
      <c r="I13" s="6" t="s">
        <v>138</v>
      </c>
      <c r="J13" s="6" t="s">
        <v>139</v>
      </c>
      <c r="K13" s="6" t="s">
        <v>166</v>
      </c>
      <c r="L13" s="10"/>
      <c r="M13" s="11" t="s">
        <v>167</v>
      </c>
      <c r="N13" s="12">
        <v>46224</v>
      </c>
      <c r="O13" s="8"/>
      <c r="P13" s="6"/>
      <c r="Q13" s="6"/>
      <c r="R13" s="6"/>
      <c r="S13" s="11"/>
      <c r="T13" s="11"/>
      <c r="U13" s="10"/>
      <c r="V13" s="10"/>
    </row>
    <row r="14" spans="1:22" ht="15" customHeight="1">
      <c r="A14" s="6">
        <v>9</v>
      </c>
      <c r="B14" s="7">
        <v>46226</v>
      </c>
      <c r="C14" s="6" t="str">
        <f t="shared" si="0"/>
        <v>Donnerstag</v>
      </c>
      <c r="D14" s="8">
        <v>0.33333333333333298</v>
      </c>
      <c r="E14" s="6" t="s">
        <v>130</v>
      </c>
      <c r="F14" s="6" t="s">
        <v>121</v>
      </c>
      <c r="G14" s="6" t="s">
        <v>131</v>
      </c>
      <c r="H14" s="6">
        <v>3507</v>
      </c>
      <c r="I14" s="6" t="s">
        <v>138</v>
      </c>
      <c r="J14" s="6"/>
      <c r="K14" s="9">
        <v>39.1</v>
      </c>
      <c r="L14" s="10"/>
      <c r="M14" s="11" t="s">
        <v>168</v>
      </c>
      <c r="N14" s="12">
        <v>46226</v>
      </c>
      <c r="O14" s="8">
        <v>0.37152777777777801</v>
      </c>
      <c r="P14" s="6" t="s">
        <v>61</v>
      </c>
      <c r="Q14" s="6"/>
      <c r="R14" s="6"/>
      <c r="S14" s="11" t="s">
        <v>169</v>
      </c>
      <c r="T14" s="11" t="s">
        <v>170</v>
      </c>
      <c r="U14" s="10"/>
      <c r="V14" s="10"/>
    </row>
    <row r="15" spans="1:22" ht="15" customHeight="1">
      <c r="A15" s="6">
        <v>10</v>
      </c>
      <c r="B15" s="7">
        <v>46226</v>
      </c>
      <c r="C15" s="6" t="str">
        <f t="shared" si="0"/>
        <v>Donnerstag</v>
      </c>
      <c r="D15" s="8">
        <v>0.61805555555555602</v>
      </c>
      <c r="E15" s="6" t="s">
        <v>130</v>
      </c>
      <c r="F15" s="6" t="s">
        <v>121</v>
      </c>
      <c r="G15" s="6" t="s">
        <v>131</v>
      </c>
      <c r="H15" s="6">
        <v>3507</v>
      </c>
      <c r="I15" s="6" t="s">
        <v>171</v>
      </c>
      <c r="J15" s="6"/>
      <c r="K15" s="9">
        <v>48.463999999999999</v>
      </c>
      <c r="L15" s="10"/>
      <c r="M15" s="11" t="s">
        <v>172</v>
      </c>
      <c r="N15" s="12"/>
      <c r="O15" s="8"/>
      <c r="P15" s="6" t="s">
        <v>173</v>
      </c>
      <c r="Q15" s="6"/>
      <c r="R15" s="6"/>
      <c r="S15" s="11" t="s">
        <v>174</v>
      </c>
      <c r="T15" s="11" t="s">
        <v>175</v>
      </c>
      <c r="U15" s="10" t="s">
        <v>156</v>
      </c>
      <c r="V15" s="10"/>
    </row>
    <row r="16" spans="1:22" ht="15" customHeight="1">
      <c r="A16" s="6">
        <v>11</v>
      </c>
      <c r="B16" s="7">
        <v>46228</v>
      </c>
      <c r="C16" s="6" t="str">
        <f t="shared" si="0"/>
        <v>Samstag</v>
      </c>
      <c r="D16" s="8">
        <v>0.68194444444444502</v>
      </c>
      <c r="E16" s="6" t="s">
        <v>176</v>
      </c>
      <c r="F16" s="6" t="s">
        <v>159</v>
      </c>
      <c r="G16" s="6" t="s">
        <v>177</v>
      </c>
      <c r="H16" s="6">
        <v>3507</v>
      </c>
      <c r="I16" s="6" t="s">
        <v>138</v>
      </c>
      <c r="J16" s="6"/>
      <c r="K16" s="9">
        <v>38.9</v>
      </c>
      <c r="L16" s="10"/>
      <c r="M16" s="11" t="s">
        <v>178</v>
      </c>
      <c r="N16" s="12"/>
      <c r="O16" s="8">
        <v>0.5</v>
      </c>
      <c r="P16" s="6" t="s">
        <v>70</v>
      </c>
      <c r="Q16" s="6"/>
      <c r="R16" s="6"/>
      <c r="S16" s="11"/>
      <c r="T16" s="11" t="s">
        <v>175</v>
      </c>
      <c r="U16" s="10" t="s">
        <v>156</v>
      </c>
      <c r="V16" s="10"/>
    </row>
    <row r="17" spans="1:22" ht="15" customHeight="1">
      <c r="A17" s="6">
        <v>12</v>
      </c>
      <c r="B17" s="7">
        <v>46228</v>
      </c>
      <c r="C17" s="6" t="str">
        <f t="shared" si="0"/>
        <v>Samstag</v>
      </c>
      <c r="D17" s="8">
        <v>0.68194444444444502</v>
      </c>
      <c r="E17" s="6" t="s">
        <v>176</v>
      </c>
      <c r="F17" s="6" t="s">
        <v>159</v>
      </c>
      <c r="G17" s="6" t="s">
        <v>177</v>
      </c>
      <c r="H17" s="6">
        <v>3507</v>
      </c>
      <c r="I17" s="6" t="s">
        <v>138</v>
      </c>
      <c r="J17" s="6"/>
      <c r="K17" s="9">
        <v>39</v>
      </c>
      <c r="L17" s="10"/>
      <c r="M17" s="11" t="s">
        <v>179</v>
      </c>
      <c r="N17" s="12"/>
      <c r="O17" s="8">
        <v>0.5</v>
      </c>
      <c r="P17" s="6" t="s">
        <v>70</v>
      </c>
      <c r="Q17" s="6"/>
      <c r="R17" s="6"/>
      <c r="S17" s="11"/>
      <c r="T17" s="11" t="s">
        <v>175</v>
      </c>
      <c r="U17" s="10" t="s">
        <v>156</v>
      </c>
      <c r="V17" s="10"/>
    </row>
    <row r="18" spans="1:22" ht="27.75" customHeight="1">
      <c r="A18" s="6" t="s">
        <v>180</v>
      </c>
      <c r="B18" s="7">
        <v>46229</v>
      </c>
      <c r="C18" s="6" t="str">
        <f t="shared" si="0"/>
        <v>Sonntag</v>
      </c>
      <c r="D18" s="8">
        <v>0.49444444444444502</v>
      </c>
      <c r="E18" s="6" t="s">
        <v>181</v>
      </c>
      <c r="F18" s="6" t="s">
        <v>121</v>
      </c>
      <c r="G18" s="6" t="s">
        <v>182</v>
      </c>
      <c r="H18" s="6">
        <v>3507</v>
      </c>
      <c r="I18" s="6" t="s">
        <v>152</v>
      </c>
      <c r="J18" s="6"/>
      <c r="K18" s="9">
        <v>43.000999999999998</v>
      </c>
      <c r="L18" s="10">
        <v>5</v>
      </c>
      <c r="M18" s="11" t="s">
        <v>183</v>
      </c>
      <c r="N18" s="12"/>
      <c r="O18" s="8">
        <v>0.5</v>
      </c>
      <c r="P18" s="6" t="s">
        <v>70</v>
      </c>
      <c r="Q18" s="6"/>
      <c r="R18" s="6"/>
      <c r="S18" s="11" t="s">
        <v>184</v>
      </c>
      <c r="T18" s="11" t="s">
        <v>175</v>
      </c>
      <c r="U18" s="10" t="s">
        <v>156</v>
      </c>
      <c r="V18" s="10"/>
    </row>
    <row r="19" spans="1:22" ht="27.75" customHeight="1" outlineLevel="1">
      <c r="A19" s="6" t="s">
        <v>185</v>
      </c>
      <c r="B19" s="7">
        <v>46229</v>
      </c>
      <c r="C19" s="6" t="str">
        <f>IF(B19="","",CHOOSE(WEEKDAY(B19,2),"Montag","Dienstag","Mittwoch","Donnerstag","Freitag","Samstag","Sonntag"))</f>
        <v>Sonntag</v>
      </c>
      <c r="D19" s="8">
        <v>0.49444444444444502</v>
      </c>
      <c r="E19" s="6" t="s">
        <v>181</v>
      </c>
      <c r="F19" s="6" t="s">
        <v>121</v>
      </c>
      <c r="G19" s="6" t="s">
        <v>182</v>
      </c>
      <c r="H19" s="6">
        <v>3507</v>
      </c>
      <c r="I19" s="6" t="s">
        <v>152</v>
      </c>
      <c r="J19" s="6"/>
      <c r="K19" s="9">
        <v>43.000999999999998</v>
      </c>
      <c r="L19" s="10"/>
      <c r="M19" s="11" t="s">
        <v>183</v>
      </c>
      <c r="N19" s="12"/>
      <c r="O19" s="8"/>
      <c r="P19" s="6"/>
      <c r="Q19" s="6" t="s">
        <v>186</v>
      </c>
      <c r="R19" s="6"/>
      <c r="S19" s="11"/>
      <c r="T19" s="11"/>
      <c r="U19" s="10" t="s">
        <v>187</v>
      </c>
      <c r="V19" s="10"/>
    </row>
    <row r="20" spans="1:22" ht="27.75" customHeight="1" outlineLevel="1">
      <c r="A20" s="6" t="s">
        <v>188</v>
      </c>
      <c r="B20" s="7">
        <v>46229</v>
      </c>
      <c r="C20" s="6" t="str">
        <f>IF(B20="","",CHOOSE(WEEKDAY(B20,2),"Montag","Dienstag","Mittwoch","Donnerstag","Freitag","Samstag","Sonntag"))</f>
        <v>Sonntag</v>
      </c>
      <c r="D20" s="8">
        <v>0.49444444444444502</v>
      </c>
      <c r="E20" s="6" t="s">
        <v>181</v>
      </c>
      <c r="F20" s="6" t="s">
        <v>121</v>
      </c>
      <c r="G20" s="6" t="s">
        <v>182</v>
      </c>
      <c r="H20" s="6">
        <v>3507</v>
      </c>
      <c r="I20" s="6" t="s">
        <v>152</v>
      </c>
      <c r="J20" s="6"/>
      <c r="K20" s="9">
        <v>43.000999999999998</v>
      </c>
      <c r="L20" s="10"/>
      <c r="M20" s="11" t="s">
        <v>183</v>
      </c>
      <c r="N20" s="12"/>
      <c r="O20" s="8"/>
      <c r="P20" s="6"/>
      <c r="Q20" s="6"/>
      <c r="R20" s="6"/>
      <c r="S20" s="11"/>
      <c r="T20" s="11"/>
      <c r="U20" s="10"/>
      <c r="V20" s="10"/>
    </row>
    <row r="21" spans="1:22" ht="27.75" customHeight="1" outlineLevel="1">
      <c r="A21" s="6" t="s">
        <v>189</v>
      </c>
      <c r="B21" s="7">
        <v>46229</v>
      </c>
      <c r="C21" s="6" t="str">
        <f>IF(B21="","",CHOOSE(WEEKDAY(B21,2),"Montag","Dienstag","Mittwoch","Donnerstag","Freitag","Samstag","Sonntag"))</f>
        <v>Sonntag</v>
      </c>
      <c r="D21" s="8">
        <v>0.49444444444444502</v>
      </c>
      <c r="E21" s="6" t="s">
        <v>181</v>
      </c>
      <c r="F21" s="6" t="s">
        <v>121</v>
      </c>
      <c r="G21" s="6" t="s">
        <v>182</v>
      </c>
      <c r="H21" s="6">
        <v>3507</v>
      </c>
      <c r="I21" s="6" t="s">
        <v>152</v>
      </c>
      <c r="J21" s="6"/>
      <c r="K21" s="9">
        <v>43.000999999999998</v>
      </c>
      <c r="L21" s="10"/>
      <c r="M21" s="11" t="s">
        <v>183</v>
      </c>
      <c r="N21" s="12"/>
      <c r="O21" s="8"/>
      <c r="P21" s="6"/>
      <c r="Q21" s="6"/>
      <c r="R21" s="6"/>
      <c r="S21" s="11"/>
      <c r="T21" s="11"/>
      <c r="U21" s="10"/>
      <c r="V21" s="10"/>
    </row>
    <row r="22" spans="1:22" ht="27.75" customHeight="1" outlineLevel="1">
      <c r="A22" s="6" t="s">
        <v>190</v>
      </c>
      <c r="B22" s="7">
        <v>46229</v>
      </c>
      <c r="C22" s="6" t="str">
        <f>IF(B22="","",CHOOSE(WEEKDAY(B22,2),"Montag","Dienstag","Mittwoch","Donnerstag","Freitag","Samstag","Sonntag"))</f>
        <v>Sonntag</v>
      </c>
      <c r="D22" s="8">
        <v>0.49444444444444502</v>
      </c>
      <c r="E22" s="6" t="s">
        <v>181</v>
      </c>
      <c r="F22" s="6" t="s">
        <v>121</v>
      </c>
      <c r="G22" s="6" t="s">
        <v>182</v>
      </c>
      <c r="H22" s="6">
        <v>3507</v>
      </c>
      <c r="I22" s="6" t="s">
        <v>152</v>
      </c>
      <c r="J22" s="6"/>
      <c r="K22" s="9">
        <v>43.000999999999998</v>
      </c>
      <c r="L22" s="10"/>
      <c r="M22" s="11" t="s">
        <v>183</v>
      </c>
      <c r="N22" s="12"/>
      <c r="O22" s="8"/>
      <c r="P22" s="6"/>
      <c r="Q22" s="6"/>
      <c r="R22" s="6"/>
      <c r="S22" s="11"/>
      <c r="T22" s="11"/>
      <c r="U22" s="10"/>
      <c r="V22" s="10"/>
    </row>
    <row r="23" spans="1:22" ht="27.75" customHeight="1">
      <c r="A23" s="6">
        <v>14</v>
      </c>
      <c r="B23" s="7">
        <v>46237</v>
      </c>
      <c r="C23" s="6" t="str">
        <f t="shared" si="0"/>
        <v>Montag</v>
      </c>
      <c r="D23" s="8">
        <v>0.6875</v>
      </c>
      <c r="E23" s="6" t="s">
        <v>191</v>
      </c>
      <c r="F23" s="6" t="s">
        <v>121</v>
      </c>
      <c r="G23" s="6" t="s">
        <v>192</v>
      </c>
      <c r="H23" s="6">
        <v>3507</v>
      </c>
      <c r="I23" s="6" t="s">
        <v>123</v>
      </c>
      <c r="J23" s="6"/>
      <c r="K23" s="9">
        <v>64.2</v>
      </c>
      <c r="L23" s="10"/>
      <c r="M23" s="11" t="s">
        <v>193</v>
      </c>
      <c r="N23" s="12"/>
      <c r="O23" s="8">
        <v>0.47916666666666702</v>
      </c>
      <c r="P23" s="6" t="s">
        <v>72</v>
      </c>
      <c r="Q23" s="6"/>
      <c r="R23" s="6"/>
      <c r="S23" s="11" t="s">
        <v>194</v>
      </c>
      <c r="T23" s="11" t="s">
        <v>175</v>
      </c>
      <c r="U23" s="10" t="s">
        <v>156</v>
      </c>
      <c r="V23" s="10"/>
    </row>
    <row r="24" spans="1:22" ht="15" customHeight="1">
      <c r="A24" s="6">
        <v>15</v>
      </c>
      <c r="B24" s="7">
        <v>46238</v>
      </c>
      <c r="C24" s="6" t="str">
        <f t="shared" si="0"/>
        <v>Dienstag</v>
      </c>
      <c r="D24" s="8">
        <v>0.40069444444444502</v>
      </c>
      <c r="E24" s="6" t="s">
        <v>181</v>
      </c>
      <c r="F24" s="6" t="s">
        <v>121</v>
      </c>
      <c r="G24" s="6" t="s">
        <v>182</v>
      </c>
      <c r="H24" s="6">
        <v>3507</v>
      </c>
      <c r="I24" s="6" t="s">
        <v>123</v>
      </c>
      <c r="J24" s="6" t="s">
        <v>195</v>
      </c>
      <c r="K24" s="9">
        <v>65.09</v>
      </c>
      <c r="L24" s="10"/>
      <c r="M24" s="11" t="s">
        <v>196</v>
      </c>
      <c r="N24" s="12"/>
      <c r="O24" s="8">
        <v>0.40208333333333302</v>
      </c>
      <c r="P24" s="6" t="s">
        <v>72</v>
      </c>
      <c r="Q24" s="6"/>
      <c r="R24" s="6"/>
      <c r="S24" s="11" t="s">
        <v>197</v>
      </c>
      <c r="T24" s="11" t="s">
        <v>175</v>
      </c>
      <c r="U24" s="10" t="s">
        <v>156</v>
      </c>
      <c r="V24" s="10"/>
    </row>
    <row r="25" spans="1:22" ht="15" customHeight="1">
      <c r="A25" s="6">
        <v>16</v>
      </c>
      <c r="B25" s="7">
        <v>46238</v>
      </c>
      <c r="C25" s="6" t="str">
        <f t="shared" si="0"/>
        <v>Dienstag</v>
      </c>
      <c r="D25" s="8">
        <v>0.52430555555555602</v>
      </c>
      <c r="E25" s="6" t="s">
        <v>181</v>
      </c>
      <c r="F25" s="6" t="s">
        <v>121</v>
      </c>
      <c r="G25" s="6" t="s">
        <v>182</v>
      </c>
      <c r="H25" s="6">
        <v>3507</v>
      </c>
      <c r="I25" s="6" t="s">
        <v>171</v>
      </c>
      <c r="J25" s="6"/>
      <c r="K25" s="9">
        <v>48.8</v>
      </c>
      <c r="L25" s="10"/>
      <c r="M25" s="11" t="s">
        <v>198</v>
      </c>
      <c r="N25" s="12"/>
      <c r="O25" s="8">
        <v>0.52430555555555602</v>
      </c>
      <c r="P25" s="6" t="s">
        <v>72</v>
      </c>
      <c r="Q25" s="6"/>
      <c r="R25" s="6"/>
      <c r="S25" s="11" t="s">
        <v>197</v>
      </c>
      <c r="T25" s="11" t="s">
        <v>175</v>
      </c>
      <c r="U25" s="10" t="s">
        <v>156</v>
      </c>
      <c r="V25" s="10"/>
    </row>
    <row r="26" spans="1:22" ht="15" customHeight="1">
      <c r="A26" s="6">
        <v>17</v>
      </c>
      <c r="B26" s="7">
        <v>46239</v>
      </c>
      <c r="C26" s="6" t="str">
        <f t="shared" si="0"/>
        <v>Mittwoch</v>
      </c>
      <c r="D26" s="8">
        <v>0.46250000000000002</v>
      </c>
      <c r="E26" s="6" t="s">
        <v>181</v>
      </c>
      <c r="F26" s="6" t="s">
        <v>121</v>
      </c>
      <c r="G26" s="6" t="s">
        <v>182</v>
      </c>
      <c r="H26" s="6">
        <v>3507</v>
      </c>
      <c r="I26" s="6" t="s">
        <v>123</v>
      </c>
      <c r="J26" s="6"/>
      <c r="K26" s="9">
        <v>64.400000000000006</v>
      </c>
      <c r="L26" s="10"/>
      <c r="M26" s="11" t="s">
        <v>199</v>
      </c>
      <c r="N26" s="12"/>
      <c r="O26" s="8">
        <v>0.46180555555555602</v>
      </c>
      <c r="P26" s="6" t="s">
        <v>72</v>
      </c>
      <c r="Q26" s="6"/>
      <c r="R26" s="6"/>
      <c r="S26" s="11" t="s">
        <v>200</v>
      </c>
      <c r="T26" s="11"/>
      <c r="U26" s="10"/>
      <c r="V26" s="10"/>
    </row>
    <row r="27" spans="1:22" ht="15" customHeight="1">
      <c r="A27" s="6">
        <v>18</v>
      </c>
      <c r="B27" s="7">
        <v>46239</v>
      </c>
      <c r="C27" s="6" t="str">
        <f t="shared" si="0"/>
        <v>Mittwoch</v>
      </c>
      <c r="D27" s="8">
        <v>0.625</v>
      </c>
      <c r="E27" s="6" t="s">
        <v>181</v>
      </c>
      <c r="F27" s="6" t="s">
        <v>121</v>
      </c>
      <c r="G27" s="6" t="s">
        <v>182</v>
      </c>
      <c r="H27" s="6">
        <v>3507</v>
      </c>
      <c r="I27" s="6" t="s">
        <v>123</v>
      </c>
      <c r="J27" s="6"/>
      <c r="K27" s="9">
        <v>50.8</v>
      </c>
      <c r="L27" s="10"/>
      <c r="M27" s="11" t="s">
        <v>201</v>
      </c>
      <c r="N27" s="12"/>
      <c r="O27" s="8">
        <v>0.64236111111111105</v>
      </c>
      <c r="P27" s="6" t="s">
        <v>72</v>
      </c>
      <c r="Q27" s="6"/>
      <c r="R27" s="6"/>
      <c r="S27" s="11" t="s">
        <v>202</v>
      </c>
      <c r="T27" s="11"/>
      <c r="U27" s="10"/>
      <c r="V27" s="10"/>
    </row>
    <row r="28" spans="1:22" ht="15" customHeight="1">
      <c r="A28" s="6">
        <v>19</v>
      </c>
      <c r="B28" s="7">
        <v>46239</v>
      </c>
      <c r="C28" s="6" t="str">
        <f t="shared" si="0"/>
        <v>Mittwoch</v>
      </c>
      <c r="D28" s="8">
        <v>0.625</v>
      </c>
      <c r="E28" s="6" t="s">
        <v>181</v>
      </c>
      <c r="F28" s="6" t="s">
        <v>121</v>
      </c>
      <c r="G28" s="6" t="s">
        <v>182</v>
      </c>
      <c r="H28" s="6">
        <v>3507</v>
      </c>
      <c r="I28" s="6" t="s">
        <v>171</v>
      </c>
      <c r="J28" s="6"/>
      <c r="K28" s="9">
        <v>42.5</v>
      </c>
      <c r="L28" s="10"/>
      <c r="M28" s="11" t="s">
        <v>203</v>
      </c>
      <c r="N28" s="12"/>
      <c r="O28" s="8">
        <v>0.63055555555555598</v>
      </c>
      <c r="P28" s="6" t="s">
        <v>72</v>
      </c>
      <c r="Q28" s="6"/>
      <c r="R28" s="6"/>
      <c r="S28" s="11" t="s">
        <v>204</v>
      </c>
      <c r="T28" s="11"/>
      <c r="U28" s="10"/>
      <c r="V28" s="10"/>
    </row>
    <row r="29" spans="1:22" ht="15" customHeight="1">
      <c r="A29" s="6">
        <v>20</v>
      </c>
      <c r="B29" s="7">
        <v>46240</v>
      </c>
      <c r="C29" s="6" t="str">
        <f t="shared" si="0"/>
        <v>Donnerstag</v>
      </c>
      <c r="D29" s="8">
        <v>0.40902777777777799</v>
      </c>
      <c r="E29" s="6" t="s">
        <v>181</v>
      </c>
      <c r="F29" s="6" t="s">
        <v>121</v>
      </c>
      <c r="G29" s="6" t="s">
        <v>182</v>
      </c>
      <c r="H29" s="6">
        <v>3507</v>
      </c>
      <c r="I29" s="6" t="s">
        <v>123</v>
      </c>
      <c r="J29" s="6"/>
      <c r="K29" s="9">
        <v>65.855999999999995</v>
      </c>
      <c r="L29" s="10"/>
      <c r="M29" s="11" t="s">
        <v>203</v>
      </c>
      <c r="N29" s="12"/>
      <c r="O29" s="8">
        <v>0.41666666666666702</v>
      </c>
      <c r="P29" s="6" t="s">
        <v>72</v>
      </c>
      <c r="Q29" s="6"/>
      <c r="R29" s="6"/>
      <c r="S29" s="11" t="s">
        <v>205</v>
      </c>
      <c r="T29" s="11"/>
      <c r="U29" s="10"/>
      <c r="V29" s="10"/>
    </row>
    <row r="30" spans="1:22" ht="15" customHeight="1">
      <c r="A30" s="6">
        <v>21</v>
      </c>
      <c r="B30" s="7">
        <v>46240</v>
      </c>
      <c r="C30" s="6" t="str">
        <f t="shared" si="0"/>
        <v>Donnerstag</v>
      </c>
      <c r="D30" s="8">
        <v>0.625</v>
      </c>
      <c r="E30" s="6" t="s">
        <v>181</v>
      </c>
      <c r="F30" s="6" t="s">
        <v>121</v>
      </c>
      <c r="G30" s="6" t="s">
        <v>182</v>
      </c>
      <c r="H30" s="6">
        <v>3507</v>
      </c>
      <c r="I30" s="6" t="s">
        <v>171</v>
      </c>
      <c r="J30" s="6"/>
      <c r="K30" s="9">
        <v>42.25</v>
      </c>
      <c r="L30" s="10"/>
      <c r="M30" s="11" t="s">
        <v>206</v>
      </c>
      <c r="N30" s="12">
        <v>46241</v>
      </c>
      <c r="O30" s="8">
        <v>0.4375</v>
      </c>
      <c r="P30" s="6" t="s">
        <v>72</v>
      </c>
      <c r="Q30" s="6"/>
      <c r="R30" s="6"/>
      <c r="S30" s="11" t="s">
        <v>207</v>
      </c>
      <c r="T30" s="11" t="s">
        <v>175</v>
      </c>
      <c r="U30" s="10" t="s">
        <v>156</v>
      </c>
      <c r="V30" s="10"/>
    </row>
    <row r="31" spans="1:22" ht="15" customHeight="1">
      <c r="A31" s="6">
        <v>22</v>
      </c>
      <c r="B31" s="7">
        <v>46241</v>
      </c>
      <c r="C31" s="6" t="str">
        <f t="shared" si="0"/>
        <v>Freitag</v>
      </c>
      <c r="D31" s="8">
        <v>0.45833333333333298</v>
      </c>
      <c r="E31" s="6" t="s">
        <v>181</v>
      </c>
      <c r="F31" s="6" t="s">
        <v>121</v>
      </c>
      <c r="G31" s="6" t="s">
        <v>182</v>
      </c>
      <c r="H31" s="6">
        <v>3507</v>
      </c>
      <c r="I31" s="6" t="s">
        <v>171</v>
      </c>
      <c r="J31" s="6"/>
      <c r="K31" s="9">
        <v>42.45</v>
      </c>
      <c r="L31" s="10"/>
      <c r="M31" s="11" t="s">
        <v>208</v>
      </c>
      <c r="N31" s="12"/>
      <c r="O31" s="8">
        <v>0.47222222222222199</v>
      </c>
      <c r="P31" s="6" t="s">
        <v>72</v>
      </c>
      <c r="Q31" s="6"/>
      <c r="R31" s="6"/>
      <c r="S31" s="11" t="s">
        <v>209</v>
      </c>
      <c r="T31" s="11"/>
      <c r="U31" s="10"/>
      <c r="V31" s="10"/>
    </row>
    <row r="32" spans="1:22" ht="15" customHeight="1">
      <c r="A32" s="6">
        <v>23</v>
      </c>
      <c r="B32" s="7">
        <v>46241</v>
      </c>
      <c r="C32" s="6" t="str">
        <f t="shared" si="0"/>
        <v>Freitag</v>
      </c>
      <c r="D32" s="8">
        <v>0.50972222222222197</v>
      </c>
      <c r="E32" s="6" t="s">
        <v>181</v>
      </c>
      <c r="F32" s="6" t="s">
        <v>121</v>
      </c>
      <c r="G32" s="6" t="s">
        <v>182</v>
      </c>
      <c r="H32" s="6">
        <v>3507</v>
      </c>
      <c r="I32" s="6" t="s">
        <v>210</v>
      </c>
      <c r="J32" s="6" t="s">
        <v>211</v>
      </c>
      <c r="K32" s="6"/>
      <c r="L32" s="10"/>
      <c r="M32" s="11"/>
      <c r="N32" s="12">
        <v>46243</v>
      </c>
      <c r="O32" s="8">
        <v>0.38888888888888901</v>
      </c>
      <c r="P32" s="6" t="s">
        <v>83</v>
      </c>
      <c r="Q32" s="6"/>
      <c r="R32" s="6"/>
      <c r="S32" s="11"/>
      <c r="T32" s="11"/>
      <c r="U32" s="10"/>
      <c r="V32" s="10"/>
    </row>
    <row r="33" spans="1:22" ht="27.75" customHeight="1">
      <c r="A33" s="6">
        <v>24</v>
      </c>
      <c r="B33" s="7">
        <v>46242</v>
      </c>
      <c r="C33" s="6" t="str">
        <f t="shared" si="0"/>
        <v>Samstag</v>
      </c>
      <c r="D33" s="8">
        <v>0.344444444444444</v>
      </c>
      <c r="E33" s="6" t="s">
        <v>212</v>
      </c>
      <c r="F33" s="6" t="s">
        <v>213</v>
      </c>
      <c r="G33" s="6" t="s">
        <v>214</v>
      </c>
      <c r="H33" s="6">
        <v>3507</v>
      </c>
      <c r="I33" s="6" t="s">
        <v>152</v>
      </c>
      <c r="J33" s="6"/>
      <c r="K33" s="9">
        <v>45.1</v>
      </c>
      <c r="L33" s="10"/>
      <c r="M33" s="11" t="s">
        <v>215</v>
      </c>
      <c r="N33" s="12"/>
      <c r="O33" s="8">
        <v>0.34583333333333299</v>
      </c>
      <c r="P33" s="6" t="s">
        <v>83</v>
      </c>
      <c r="Q33" s="6"/>
      <c r="R33" s="6"/>
      <c r="S33" s="11" t="s">
        <v>216</v>
      </c>
      <c r="T33" s="11" t="s">
        <v>217</v>
      </c>
      <c r="U33" s="10"/>
      <c r="V33" s="10"/>
    </row>
    <row r="34" spans="1:22" ht="15" customHeight="1">
      <c r="A34" s="6">
        <v>25</v>
      </c>
      <c r="B34" s="7">
        <v>46244</v>
      </c>
      <c r="C34" s="6" t="str">
        <f t="shared" si="0"/>
        <v>Montag</v>
      </c>
      <c r="D34" s="8">
        <v>0.44722222222222202</v>
      </c>
      <c r="E34" s="6" t="s">
        <v>181</v>
      </c>
      <c r="F34" s="6" t="s">
        <v>121</v>
      </c>
      <c r="G34" s="6" t="s">
        <v>182</v>
      </c>
      <c r="H34" s="6">
        <v>3507</v>
      </c>
      <c r="I34" s="6" t="s">
        <v>218</v>
      </c>
      <c r="J34" s="6" t="s">
        <v>219</v>
      </c>
      <c r="K34" s="6"/>
      <c r="L34" s="10"/>
      <c r="M34" s="11" t="s">
        <v>220</v>
      </c>
      <c r="N34" s="12"/>
      <c r="O34" s="8"/>
      <c r="P34" s="6"/>
      <c r="Q34" s="6"/>
      <c r="R34" s="6"/>
      <c r="S34" s="11"/>
      <c r="T34" s="11"/>
      <c r="U34" s="10"/>
      <c r="V34" s="10"/>
    </row>
    <row r="35" spans="1:22" ht="15" customHeight="1">
      <c r="A35" s="6">
        <v>26</v>
      </c>
      <c r="B35" s="7">
        <v>46244</v>
      </c>
      <c r="C35" s="6" t="str">
        <f t="shared" si="0"/>
        <v>Montag</v>
      </c>
      <c r="D35" s="8">
        <v>0.50208333333333299</v>
      </c>
      <c r="E35" s="6" t="s">
        <v>181</v>
      </c>
      <c r="F35" s="6" t="s">
        <v>121</v>
      </c>
      <c r="G35" s="6" t="s">
        <v>182</v>
      </c>
      <c r="H35" s="6">
        <v>3507</v>
      </c>
      <c r="I35" s="6" t="s">
        <v>210</v>
      </c>
      <c r="J35" s="6" t="s">
        <v>221</v>
      </c>
      <c r="K35" s="6"/>
      <c r="L35" s="10"/>
      <c r="M35" s="11" t="s">
        <v>222</v>
      </c>
      <c r="N35" s="12"/>
      <c r="O35" s="8"/>
      <c r="P35" s="6"/>
      <c r="Q35" s="6"/>
      <c r="R35" s="6"/>
      <c r="S35" s="11"/>
      <c r="T35" s="11"/>
      <c r="U35" s="10"/>
      <c r="V35" s="10"/>
    </row>
    <row r="36" spans="1:22" ht="15" customHeight="1">
      <c r="A36" s="6"/>
      <c r="B36" s="7"/>
      <c r="C36" s="6" t="str">
        <f t="shared" si="0"/>
        <v/>
      </c>
      <c r="D36" s="8"/>
      <c r="E36" s="6"/>
      <c r="F36" s="6" t="str">
        <f>IF($E36="","",IFERROR(INDEX(Ansprechpartner!$F$4:$F$80,MATCH($E36,AP_Namen,0)),""))</f>
        <v/>
      </c>
      <c r="G36" s="6" t="str">
        <f>IF($E36="","",IFERROR(INDEX(Ansprechpartner!$C$4:$C$80,MATCH($E36,AP_Namen,0)),""))</f>
        <v/>
      </c>
      <c r="H36" s="6"/>
      <c r="I36" s="6"/>
      <c r="J36" s="6"/>
      <c r="K36" s="6"/>
      <c r="L36" s="10"/>
      <c r="M36" s="11"/>
      <c r="N36" s="12"/>
      <c r="O36" s="8"/>
      <c r="P36" s="6"/>
      <c r="Q36" s="6"/>
      <c r="R36" s="6"/>
      <c r="S36" s="11"/>
      <c r="T36" s="11"/>
      <c r="U36" s="10"/>
      <c r="V36" s="10"/>
    </row>
    <row r="37" spans="1:22" ht="15" customHeight="1">
      <c r="A37" s="6"/>
      <c r="B37" s="7"/>
      <c r="C37" s="6" t="str">
        <f t="shared" si="0"/>
        <v/>
      </c>
      <c r="D37" s="8"/>
      <c r="E37" s="6"/>
      <c r="F37" s="6" t="str">
        <f>IF($E37="","",IFERROR(INDEX(Ansprechpartner!$F$4:$F$80,MATCH($E37,AP_Namen,0)),""))</f>
        <v/>
      </c>
      <c r="G37" s="6" t="str">
        <f>IF($E37="","",IFERROR(INDEX(Ansprechpartner!$C$4:$C$80,MATCH($E37,AP_Namen,0)),""))</f>
        <v/>
      </c>
      <c r="H37" s="6"/>
      <c r="I37" s="6"/>
      <c r="J37" s="6"/>
      <c r="K37" s="6"/>
      <c r="L37" s="10"/>
      <c r="M37" s="11"/>
      <c r="N37" s="12"/>
      <c r="O37" s="8"/>
      <c r="P37" s="6"/>
      <c r="Q37" s="6"/>
      <c r="R37" s="6"/>
      <c r="S37" s="11"/>
      <c r="T37" s="11"/>
      <c r="U37" s="10"/>
      <c r="V37" s="10"/>
    </row>
    <row r="38" spans="1:22" ht="15" customHeight="1">
      <c r="A38" s="6"/>
      <c r="B38" s="7"/>
      <c r="C38" s="6" t="str">
        <f t="shared" si="0"/>
        <v/>
      </c>
      <c r="D38" s="8"/>
      <c r="E38" s="6"/>
      <c r="F38" s="6" t="str">
        <f>IF($E38="","",IFERROR(INDEX(Ansprechpartner!$F$4:$F$80,MATCH($E38,AP_Namen,0)),""))</f>
        <v/>
      </c>
      <c r="G38" s="6" t="str">
        <f>IF($E38="","",IFERROR(INDEX(Ansprechpartner!$C$4:$C$80,MATCH($E38,AP_Namen,0)),""))</f>
        <v/>
      </c>
      <c r="H38" s="6"/>
      <c r="I38" s="6"/>
      <c r="J38" s="6"/>
      <c r="K38" s="6"/>
      <c r="L38" s="10"/>
      <c r="M38" s="11"/>
      <c r="N38" s="12"/>
      <c r="O38" s="8"/>
      <c r="P38" s="6"/>
      <c r="Q38" s="6"/>
      <c r="R38" s="6"/>
      <c r="S38" s="11"/>
      <c r="T38" s="11"/>
      <c r="U38" s="10"/>
      <c r="V38" s="10"/>
    </row>
    <row r="39" spans="1:22" ht="15" customHeight="1">
      <c r="A39" s="6"/>
      <c r="B39" s="7"/>
      <c r="C39" s="6" t="str">
        <f t="shared" si="0"/>
        <v/>
      </c>
      <c r="D39" s="8"/>
      <c r="E39" s="6"/>
      <c r="F39" s="6" t="str">
        <f>IF($E39="","",IFERROR(INDEX(Ansprechpartner!$F$4:$F$80,MATCH($E39,AP_Namen,0)),""))</f>
        <v/>
      </c>
      <c r="G39" s="6" t="str">
        <f>IF($E39="","",IFERROR(INDEX(Ansprechpartner!$C$4:$C$80,MATCH($E39,AP_Namen,0)),""))</f>
        <v/>
      </c>
      <c r="H39" s="6"/>
      <c r="I39" s="6"/>
      <c r="J39" s="6"/>
      <c r="K39" s="6"/>
      <c r="L39" s="10"/>
      <c r="M39" s="11"/>
      <c r="N39" s="12"/>
      <c r="O39" s="8"/>
      <c r="P39" s="6"/>
      <c r="Q39" s="6"/>
      <c r="R39" s="6"/>
      <c r="S39" s="11"/>
      <c r="T39" s="11"/>
      <c r="U39" s="10"/>
      <c r="V39" s="10"/>
    </row>
    <row r="40" spans="1:22" ht="15" customHeight="1">
      <c r="A40" s="6"/>
      <c r="B40" s="7"/>
      <c r="C40" s="6" t="str">
        <f t="shared" si="0"/>
        <v/>
      </c>
      <c r="D40" s="8"/>
      <c r="E40" s="6"/>
      <c r="F40" s="6" t="str">
        <f>IF($E40="","",IFERROR(INDEX(Ansprechpartner!$F$4:$F$80,MATCH($E40,AP_Namen,0)),""))</f>
        <v/>
      </c>
      <c r="G40" s="6" t="str">
        <f>IF($E40="","",IFERROR(INDEX(Ansprechpartner!$C$4:$C$80,MATCH($E40,AP_Namen,0)),""))</f>
        <v/>
      </c>
      <c r="H40" s="6"/>
      <c r="I40" s="6"/>
      <c r="J40" s="6"/>
      <c r="K40" s="6"/>
      <c r="L40" s="10"/>
      <c r="M40" s="11"/>
      <c r="N40" s="12"/>
      <c r="O40" s="8"/>
      <c r="P40" s="6"/>
      <c r="Q40" s="6"/>
      <c r="R40" s="6"/>
      <c r="S40" s="11"/>
      <c r="T40" s="11"/>
      <c r="U40" s="10"/>
      <c r="V40" s="10"/>
    </row>
    <row r="41" spans="1:22" ht="15" customHeight="1">
      <c r="A41" s="6"/>
      <c r="B41" s="7"/>
      <c r="C41" s="6" t="str">
        <f t="shared" si="0"/>
        <v/>
      </c>
      <c r="D41" s="8"/>
      <c r="E41" s="6"/>
      <c r="F41" s="6" t="str">
        <f>IF($E41="","",IFERROR(INDEX(Ansprechpartner!$F$4:$F$80,MATCH($E41,AP_Namen,0)),""))</f>
        <v/>
      </c>
      <c r="G41" s="6" t="str">
        <f>IF($E41="","",IFERROR(INDEX(Ansprechpartner!$C$4:$C$80,MATCH($E41,AP_Namen,0)),""))</f>
        <v/>
      </c>
      <c r="H41" s="6"/>
      <c r="I41" s="6"/>
      <c r="J41" s="6"/>
      <c r="K41" s="6"/>
      <c r="L41" s="10"/>
      <c r="M41" s="11"/>
      <c r="N41" s="12"/>
      <c r="O41" s="8"/>
      <c r="P41" s="6"/>
      <c r="Q41" s="6"/>
      <c r="R41" s="6"/>
      <c r="S41" s="11"/>
      <c r="T41" s="11"/>
      <c r="U41" s="10"/>
      <c r="V41" s="10"/>
    </row>
    <row r="42" spans="1:22" ht="15" customHeight="1">
      <c r="A42" s="6"/>
      <c r="B42" s="7"/>
      <c r="C42" s="6" t="str">
        <f t="shared" si="0"/>
        <v/>
      </c>
      <c r="D42" s="8"/>
      <c r="E42" s="6"/>
      <c r="F42" s="6" t="str">
        <f>IF($E42="","",IFERROR(INDEX(Ansprechpartner!$F$4:$F$80,MATCH($E42,AP_Namen,0)),""))</f>
        <v/>
      </c>
      <c r="G42" s="6" t="str">
        <f>IF($E42="","",IFERROR(INDEX(Ansprechpartner!$C$4:$C$80,MATCH($E42,AP_Namen,0)),""))</f>
        <v/>
      </c>
      <c r="H42" s="6"/>
      <c r="I42" s="6"/>
      <c r="J42" s="6"/>
      <c r="K42" s="6"/>
      <c r="L42" s="10"/>
      <c r="M42" s="11"/>
      <c r="N42" s="12"/>
      <c r="O42" s="8"/>
      <c r="P42" s="6"/>
      <c r="Q42" s="6"/>
      <c r="R42" s="6"/>
      <c r="S42" s="11"/>
      <c r="T42" s="11"/>
      <c r="U42" s="10"/>
      <c r="V42" s="10"/>
    </row>
    <row r="43" spans="1:22" ht="15" customHeight="1">
      <c r="A43" s="6"/>
      <c r="B43" s="7"/>
      <c r="C43" s="6" t="str">
        <f t="shared" si="0"/>
        <v/>
      </c>
      <c r="D43" s="8"/>
      <c r="E43" s="6"/>
      <c r="F43" s="6" t="str">
        <f>IF($E43="","",IFERROR(INDEX(Ansprechpartner!$F$4:$F$80,MATCH($E43,AP_Namen,0)),""))</f>
        <v/>
      </c>
      <c r="G43" s="6" t="str">
        <f>IF($E43="","",IFERROR(INDEX(Ansprechpartner!$C$4:$C$80,MATCH($E43,AP_Namen,0)),""))</f>
        <v/>
      </c>
      <c r="H43" s="6"/>
      <c r="I43" s="6"/>
      <c r="J43" s="6"/>
      <c r="K43" s="6"/>
      <c r="L43" s="10"/>
      <c r="M43" s="11"/>
      <c r="N43" s="12"/>
      <c r="O43" s="8"/>
      <c r="P43" s="6"/>
      <c r="Q43" s="6"/>
      <c r="R43" s="6"/>
      <c r="S43" s="11"/>
      <c r="T43" s="11"/>
      <c r="U43" s="10"/>
      <c r="V43" s="10"/>
    </row>
    <row r="44" spans="1:22" ht="15" customHeight="1">
      <c r="A44" s="6"/>
      <c r="B44" s="7"/>
      <c r="C44" s="6" t="str">
        <f t="shared" si="0"/>
        <v/>
      </c>
      <c r="D44" s="8"/>
      <c r="E44" s="6"/>
      <c r="F44" s="6" t="str">
        <f>IF($E44="","",IFERROR(INDEX(Ansprechpartner!$F$4:$F$80,MATCH($E44,AP_Namen,0)),""))</f>
        <v/>
      </c>
      <c r="G44" s="6" t="str">
        <f>IF($E44="","",IFERROR(INDEX(Ansprechpartner!$C$4:$C$80,MATCH($E44,AP_Namen,0)),""))</f>
        <v/>
      </c>
      <c r="H44" s="6"/>
      <c r="I44" s="6"/>
      <c r="J44" s="6"/>
      <c r="K44" s="6"/>
      <c r="L44" s="10"/>
      <c r="M44" s="11"/>
      <c r="N44" s="12"/>
      <c r="O44" s="8"/>
      <c r="P44" s="6"/>
      <c r="Q44" s="6"/>
      <c r="R44" s="6"/>
      <c r="S44" s="11"/>
      <c r="T44" s="11"/>
      <c r="U44" s="10"/>
      <c r="V44" s="10"/>
    </row>
    <row r="45" spans="1:22" ht="15" customHeight="1">
      <c r="A45" s="6"/>
      <c r="B45" s="7"/>
      <c r="C45" s="6" t="str">
        <f t="shared" si="0"/>
        <v/>
      </c>
      <c r="D45" s="8"/>
      <c r="E45" s="6"/>
      <c r="F45" s="6" t="str">
        <f>IF($E45="","",IFERROR(INDEX(Ansprechpartner!$F$4:$F$80,MATCH($E45,AP_Namen,0)),""))</f>
        <v/>
      </c>
      <c r="G45" s="6" t="str">
        <f>IF($E45="","",IFERROR(INDEX(Ansprechpartner!$C$4:$C$80,MATCH($E45,AP_Namen,0)),""))</f>
        <v/>
      </c>
      <c r="H45" s="6"/>
      <c r="I45" s="6"/>
      <c r="J45" s="6"/>
      <c r="K45" s="6"/>
      <c r="L45" s="10"/>
      <c r="M45" s="11"/>
      <c r="N45" s="12"/>
      <c r="O45" s="8"/>
      <c r="P45" s="6"/>
      <c r="Q45" s="6"/>
      <c r="R45" s="6"/>
      <c r="S45" s="11"/>
      <c r="T45" s="11"/>
      <c r="U45" s="10"/>
      <c r="V45" s="10"/>
    </row>
    <row r="46" spans="1:22" ht="15" customHeight="1">
      <c r="A46" s="6"/>
      <c r="B46" s="7"/>
      <c r="C46" s="6" t="str">
        <f t="shared" si="0"/>
        <v/>
      </c>
      <c r="D46" s="8"/>
      <c r="E46" s="6"/>
      <c r="F46" s="6" t="str">
        <f>IF($E46="","",IFERROR(INDEX(Ansprechpartner!$F$4:$F$80,MATCH($E46,AP_Namen,0)),""))</f>
        <v/>
      </c>
      <c r="G46" s="6" t="str">
        <f>IF($E46="","",IFERROR(INDEX(Ansprechpartner!$C$4:$C$80,MATCH($E46,AP_Namen,0)),""))</f>
        <v/>
      </c>
      <c r="H46" s="6"/>
      <c r="I46" s="6"/>
      <c r="J46" s="6"/>
      <c r="K46" s="6"/>
      <c r="L46" s="10"/>
      <c r="M46" s="11"/>
      <c r="N46" s="12"/>
      <c r="O46" s="8"/>
      <c r="P46" s="6"/>
      <c r="Q46" s="6"/>
      <c r="R46" s="6"/>
      <c r="S46" s="11"/>
      <c r="T46" s="11"/>
      <c r="U46" s="10"/>
      <c r="V46" s="10"/>
    </row>
    <row r="47" spans="1:22" ht="15" customHeight="1">
      <c r="A47" s="6"/>
      <c r="B47" s="7"/>
      <c r="C47" s="6" t="str">
        <f t="shared" si="0"/>
        <v/>
      </c>
      <c r="D47" s="8"/>
      <c r="E47" s="6"/>
      <c r="F47" s="6" t="str">
        <f>IF($E47="","",IFERROR(INDEX(Ansprechpartner!$F$4:$F$80,MATCH($E47,AP_Namen,0)),""))</f>
        <v/>
      </c>
      <c r="G47" s="6" t="str">
        <f>IF($E47="","",IFERROR(INDEX(Ansprechpartner!$C$4:$C$80,MATCH($E47,AP_Namen,0)),""))</f>
        <v/>
      </c>
      <c r="H47" s="6"/>
      <c r="I47" s="6"/>
      <c r="J47" s="6"/>
      <c r="K47" s="6"/>
      <c r="L47" s="10"/>
      <c r="M47" s="11"/>
      <c r="N47" s="12"/>
      <c r="O47" s="8"/>
      <c r="P47" s="6"/>
      <c r="Q47" s="6"/>
      <c r="R47" s="6"/>
      <c r="S47" s="11"/>
      <c r="T47" s="11"/>
      <c r="U47" s="10"/>
      <c r="V47" s="10"/>
    </row>
    <row r="48" spans="1:22" ht="15" customHeight="1">
      <c r="A48" s="6"/>
      <c r="B48" s="7"/>
      <c r="C48" s="6" t="str">
        <f t="shared" si="0"/>
        <v/>
      </c>
      <c r="D48" s="8"/>
      <c r="E48" s="6"/>
      <c r="F48" s="6" t="str">
        <f>IF($E48="","",IFERROR(INDEX(Ansprechpartner!$F$4:$F$80,MATCH($E48,AP_Namen,0)),""))</f>
        <v/>
      </c>
      <c r="G48" s="6" t="str">
        <f>IF($E48="","",IFERROR(INDEX(Ansprechpartner!$C$4:$C$80,MATCH($E48,AP_Namen,0)),""))</f>
        <v/>
      </c>
      <c r="H48" s="6"/>
      <c r="I48" s="6"/>
      <c r="J48" s="6"/>
      <c r="K48" s="6"/>
      <c r="L48" s="10"/>
      <c r="M48" s="11"/>
      <c r="N48" s="12"/>
      <c r="O48" s="8"/>
      <c r="P48" s="6"/>
      <c r="Q48" s="6"/>
      <c r="R48" s="6"/>
      <c r="S48" s="11"/>
      <c r="T48" s="11"/>
      <c r="U48" s="10"/>
      <c r="V48" s="10"/>
    </row>
    <row r="49" spans="1:22" ht="15" customHeight="1">
      <c r="A49" s="6"/>
      <c r="B49" s="7"/>
      <c r="C49" s="6" t="str">
        <f t="shared" si="0"/>
        <v/>
      </c>
      <c r="D49" s="8"/>
      <c r="E49" s="6"/>
      <c r="F49" s="6" t="str">
        <f>IF($E49="","",IFERROR(INDEX(Ansprechpartner!$F$4:$F$80,MATCH($E49,AP_Namen,0)),""))</f>
        <v/>
      </c>
      <c r="G49" s="6" t="str">
        <f>IF($E49="","",IFERROR(INDEX(Ansprechpartner!$C$4:$C$80,MATCH($E49,AP_Namen,0)),""))</f>
        <v/>
      </c>
      <c r="H49" s="6"/>
      <c r="I49" s="6"/>
      <c r="J49" s="6"/>
      <c r="K49" s="6"/>
      <c r="L49" s="10"/>
      <c r="M49" s="11"/>
      <c r="N49" s="12"/>
      <c r="O49" s="8"/>
      <c r="P49" s="6"/>
      <c r="Q49" s="6"/>
      <c r="R49" s="6"/>
      <c r="S49" s="11"/>
      <c r="T49" s="11"/>
      <c r="U49" s="10"/>
      <c r="V49" s="10"/>
    </row>
    <row r="50" spans="1:22" ht="15" customHeight="1">
      <c r="A50" s="6"/>
      <c r="B50" s="7"/>
      <c r="C50" s="6" t="str">
        <f t="shared" si="0"/>
        <v/>
      </c>
      <c r="D50" s="8"/>
      <c r="E50" s="6"/>
      <c r="F50" s="6" t="str">
        <f>IF($E50="","",IFERROR(INDEX(Ansprechpartner!$F$4:$F$80,MATCH($E50,AP_Namen,0)),""))</f>
        <v/>
      </c>
      <c r="G50" s="6" t="str">
        <f>IF($E50="","",IFERROR(INDEX(Ansprechpartner!$C$4:$C$80,MATCH($E50,AP_Namen,0)),""))</f>
        <v/>
      </c>
      <c r="H50" s="6"/>
      <c r="I50" s="6"/>
      <c r="J50" s="6"/>
      <c r="K50" s="6"/>
      <c r="L50" s="10"/>
      <c r="M50" s="11"/>
      <c r="N50" s="12"/>
      <c r="O50" s="8"/>
      <c r="P50" s="6"/>
      <c r="Q50" s="6"/>
      <c r="R50" s="6"/>
      <c r="S50" s="11"/>
      <c r="T50" s="11"/>
      <c r="U50" s="10"/>
      <c r="V50" s="10"/>
    </row>
    <row r="51" spans="1:22" ht="15" customHeight="1">
      <c r="A51" s="6"/>
      <c r="B51" s="7"/>
      <c r="C51" s="6" t="str">
        <f t="shared" si="0"/>
        <v/>
      </c>
      <c r="D51" s="8"/>
      <c r="E51" s="6"/>
      <c r="F51" s="6" t="str">
        <f>IF($E51="","",IFERROR(INDEX(Ansprechpartner!$F$4:$F$80,MATCH($E51,AP_Namen,0)),""))</f>
        <v/>
      </c>
      <c r="G51" s="6" t="str">
        <f>IF($E51="","",IFERROR(INDEX(Ansprechpartner!$C$4:$C$80,MATCH($E51,AP_Namen,0)),""))</f>
        <v/>
      </c>
      <c r="H51" s="6"/>
      <c r="I51" s="6"/>
      <c r="J51" s="6"/>
      <c r="K51" s="6"/>
      <c r="L51" s="10"/>
      <c r="M51" s="11"/>
      <c r="N51" s="12"/>
      <c r="O51" s="8"/>
      <c r="P51" s="6"/>
      <c r="Q51" s="6"/>
      <c r="R51" s="6"/>
      <c r="S51" s="11"/>
      <c r="T51" s="11"/>
      <c r="U51" s="10"/>
      <c r="V51" s="10"/>
    </row>
    <row r="52" spans="1:22" ht="15" customHeight="1">
      <c r="A52" s="6"/>
      <c r="B52" s="7"/>
      <c r="C52" s="6" t="str">
        <f t="shared" si="0"/>
        <v/>
      </c>
      <c r="D52" s="8"/>
      <c r="E52" s="6"/>
      <c r="F52" s="6" t="str">
        <f>IF($E52="","",IFERROR(INDEX(Ansprechpartner!$F$4:$F$80,MATCH($E52,AP_Namen,0)),""))</f>
        <v/>
      </c>
      <c r="G52" s="6" t="str">
        <f>IF($E52="","",IFERROR(INDEX(Ansprechpartner!$C$4:$C$80,MATCH($E52,AP_Namen,0)),""))</f>
        <v/>
      </c>
      <c r="H52" s="6"/>
      <c r="I52" s="6"/>
      <c r="J52" s="6"/>
      <c r="K52" s="6"/>
      <c r="L52" s="10"/>
      <c r="M52" s="11"/>
      <c r="N52" s="12"/>
      <c r="O52" s="8"/>
      <c r="P52" s="6"/>
      <c r="Q52" s="6"/>
      <c r="R52" s="6"/>
      <c r="S52" s="11"/>
      <c r="T52" s="11"/>
      <c r="U52" s="10"/>
      <c r="V52" s="10"/>
    </row>
    <row r="53" spans="1:22" ht="15" customHeight="1">
      <c r="A53" s="6"/>
      <c r="B53" s="7"/>
      <c r="C53" s="6" t="str">
        <f t="shared" si="0"/>
        <v/>
      </c>
      <c r="D53" s="8"/>
      <c r="E53" s="6"/>
      <c r="F53" s="6" t="str">
        <f>IF($E53="","",IFERROR(INDEX(Ansprechpartner!$F$4:$F$80,MATCH($E53,AP_Namen,0)),""))</f>
        <v/>
      </c>
      <c r="G53" s="6" t="str">
        <f>IF($E53="","",IFERROR(INDEX(Ansprechpartner!$C$4:$C$80,MATCH($E53,AP_Namen,0)),""))</f>
        <v/>
      </c>
      <c r="H53" s="6"/>
      <c r="I53" s="6"/>
      <c r="J53" s="6"/>
      <c r="K53" s="6"/>
      <c r="L53" s="10"/>
      <c r="M53" s="11"/>
      <c r="N53" s="12"/>
      <c r="O53" s="8"/>
      <c r="P53" s="6"/>
      <c r="Q53" s="6"/>
      <c r="R53" s="6"/>
      <c r="S53" s="11"/>
      <c r="T53" s="11"/>
      <c r="U53" s="10"/>
      <c r="V53" s="10"/>
    </row>
    <row r="54" spans="1:22" ht="15" customHeight="1">
      <c r="A54" s="6"/>
      <c r="B54" s="7"/>
      <c r="C54" s="6" t="str">
        <f t="shared" si="0"/>
        <v/>
      </c>
      <c r="D54" s="8"/>
      <c r="E54" s="6"/>
      <c r="F54" s="6" t="str">
        <f>IF($E54="","",IFERROR(INDEX(Ansprechpartner!$F$4:$F$80,MATCH($E54,AP_Namen,0)),""))</f>
        <v/>
      </c>
      <c r="G54" s="6" t="str">
        <f>IF($E54="","",IFERROR(INDEX(Ansprechpartner!$C$4:$C$80,MATCH($E54,AP_Namen,0)),""))</f>
        <v/>
      </c>
      <c r="H54" s="6"/>
      <c r="I54" s="6"/>
      <c r="J54" s="6"/>
      <c r="K54" s="6"/>
      <c r="L54" s="10"/>
      <c r="M54" s="11"/>
      <c r="N54" s="12"/>
      <c r="O54" s="8"/>
      <c r="P54" s="6"/>
      <c r="Q54" s="6"/>
      <c r="R54" s="6"/>
      <c r="S54" s="11"/>
      <c r="T54" s="11"/>
      <c r="U54" s="10"/>
      <c r="V54" s="10"/>
    </row>
    <row r="55" spans="1:22" ht="15" customHeight="1">
      <c r="A55" s="6"/>
      <c r="B55" s="7"/>
      <c r="C55" s="6" t="str">
        <f t="shared" si="0"/>
        <v/>
      </c>
      <c r="D55" s="8"/>
      <c r="E55" s="6"/>
      <c r="F55" s="6" t="str">
        <f>IF($E55="","",IFERROR(INDEX(Ansprechpartner!$F$4:$F$80,MATCH($E55,AP_Namen,0)),""))</f>
        <v/>
      </c>
      <c r="G55" s="6" t="str">
        <f>IF($E55="","",IFERROR(INDEX(Ansprechpartner!$C$4:$C$80,MATCH($E55,AP_Namen,0)),""))</f>
        <v/>
      </c>
      <c r="H55" s="6"/>
      <c r="I55" s="6"/>
      <c r="J55" s="6"/>
      <c r="K55" s="6"/>
      <c r="L55" s="10"/>
      <c r="M55" s="11"/>
      <c r="N55" s="12"/>
      <c r="O55" s="8"/>
      <c r="P55" s="6"/>
      <c r="Q55" s="6"/>
      <c r="R55" s="6"/>
      <c r="S55" s="11"/>
      <c r="T55" s="11"/>
      <c r="U55" s="10"/>
      <c r="V55" s="10"/>
    </row>
    <row r="56" spans="1:22" ht="15" customHeight="1">
      <c r="A56" s="6"/>
      <c r="B56" s="7"/>
      <c r="C56" s="6" t="str">
        <f t="shared" si="0"/>
        <v/>
      </c>
      <c r="D56" s="8"/>
      <c r="E56" s="6"/>
      <c r="F56" s="6" t="str">
        <f>IF($E56="","",IFERROR(INDEX(Ansprechpartner!$F$4:$F$80,MATCH($E56,AP_Namen,0)),""))</f>
        <v/>
      </c>
      <c r="G56" s="6" t="str">
        <f>IF($E56="","",IFERROR(INDEX(Ansprechpartner!$C$4:$C$80,MATCH($E56,AP_Namen,0)),""))</f>
        <v/>
      </c>
      <c r="H56" s="6"/>
      <c r="I56" s="6"/>
      <c r="J56" s="6"/>
      <c r="K56" s="6"/>
      <c r="L56" s="10"/>
      <c r="M56" s="11"/>
      <c r="N56" s="12"/>
      <c r="O56" s="8"/>
      <c r="P56" s="6"/>
      <c r="Q56" s="6"/>
      <c r="R56" s="6"/>
      <c r="S56" s="11"/>
      <c r="T56" s="11"/>
      <c r="U56" s="10"/>
      <c r="V56" s="10"/>
    </row>
    <row r="57" spans="1:22" ht="15" customHeight="1">
      <c r="A57" s="6"/>
      <c r="B57" s="7"/>
      <c r="C57" s="6" t="str">
        <f t="shared" si="0"/>
        <v/>
      </c>
      <c r="D57" s="8"/>
      <c r="E57" s="6"/>
      <c r="F57" s="6" t="str">
        <f>IF($E57="","",IFERROR(INDEX(Ansprechpartner!$F$4:$F$80,MATCH($E57,AP_Namen,0)),""))</f>
        <v/>
      </c>
      <c r="G57" s="6" t="str">
        <f>IF($E57="","",IFERROR(INDEX(Ansprechpartner!$C$4:$C$80,MATCH($E57,AP_Namen,0)),""))</f>
        <v/>
      </c>
      <c r="H57" s="6"/>
      <c r="I57" s="6"/>
      <c r="J57" s="6"/>
      <c r="K57" s="6"/>
      <c r="L57" s="10"/>
      <c r="M57" s="11"/>
      <c r="N57" s="12"/>
      <c r="O57" s="8"/>
      <c r="P57" s="6"/>
      <c r="Q57" s="6"/>
      <c r="R57" s="6"/>
      <c r="S57" s="11"/>
      <c r="T57" s="11"/>
      <c r="U57" s="10"/>
      <c r="V57" s="10"/>
    </row>
    <row r="58" spans="1:22" ht="15" customHeight="1">
      <c r="A58" s="6"/>
      <c r="B58" s="7"/>
      <c r="C58" s="6" t="str">
        <f t="shared" si="0"/>
        <v/>
      </c>
      <c r="D58" s="8"/>
      <c r="E58" s="6"/>
      <c r="F58" s="6" t="str">
        <f>IF($E58="","",IFERROR(INDEX(Ansprechpartner!$F$4:$F$80,MATCH($E58,AP_Namen,0)),""))</f>
        <v/>
      </c>
      <c r="G58" s="6" t="str">
        <f>IF($E58="","",IFERROR(INDEX(Ansprechpartner!$C$4:$C$80,MATCH($E58,AP_Namen,0)),""))</f>
        <v/>
      </c>
      <c r="H58" s="6"/>
      <c r="I58" s="6"/>
      <c r="J58" s="6"/>
      <c r="K58" s="6"/>
      <c r="L58" s="10"/>
      <c r="M58" s="11"/>
      <c r="N58" s="12"/>
      <c r="O58" s="8"/>
      <c r="P58" s="6"/>
      <c r="Q58" s="6"/>
      <c r="R58" s="6"/>
      <c r="S58" s="11"/>
      <c r="T58" s="11"/>
      <c r="U58" s="10"/>
      <c r="V58" s="10"/>
    </row>
    <row r="59" spans="1:22" ht="15" customHeight="1">
      <c r="A59" s="6"/>
      <c r="B59" s="7"/>
      <c r="C59" s="6" t="str">
        <f t="shared" si="0"/>
        <v/>
      </c>
      <c r="D59" s="8"/>
      <c r="E59" s="6"/>
      <c r="F59" s="6" t="str">
        <f>IF($E59="","",IFERROR(INDEX(Ansprechpartner!$F$4:$F$80,MATCH($E59,AP_Namen,0)),""))</f>
        <v/>
      </c>
      <c r="G59" s="6" t="str">
        <f>IF($E59="","",IFERROR(INDEX(Ansprechpartner!$C$4:$C$80,MATCH($E59,AP_Namen,0)),""))</f>
        <v/>
      </c>
      <c r="H59" s="6"/>
      <c r="I59" s="6"/>
      <c r="J59" s="6"/>
      <c r="K59" s="6"/>
      <c r="L59" s="10"/>
      <c r="M59" s="11"/>
      <c r="N59" s="12"/>
      <c r="O59" s="8"/>
      <c r="P59" s="6"/>
      <c r="Q59" s="6"/>
      <c r="R59" s="6"/>
      <c r="S59" s="11"/>
      <c r="T59" s="11"/>
      <c r="U59" s="10"/>
      <c r="V59" s="10"/>
    </row>
    <row r="60" spans="1:22" ht="15" customHeight="1">
      <c r="A60" s="6"/>
      <c r="B60" s="7"/>
      <c r="C60" s="6" t="str">
        <f t="shared" si="0"/>
        <v/>
      </c>
      <c r="D60" s="8"/>
      <c r="E60" s="6"/>
      <c r="F60" s="6" t="str">
        <f>IF($E60="","",IFERROR(INDEX(Ansprechpartner!$F$4:$F$80,MATCH($E60,AP_Namen,0)),""))</f>
        <v/>
      </c>
      <c r="G60" s="6" t="str">
        <f>IF($E60="","",IFERROR(INDEX(Ansprechpartner!$C$4:$C$80,MATCH($E60,AP_Namen,0)),""))</f>
        <v/>
      </c>
      <c r="H60" s="6"/>
      <c r="I60" s="6"/>
      <c r="J60" s="6"/>
      <c r="K60" s="6"/>
      <c r="L60" s="10"/>
      <c r="M60" s="11"/>
      <c r="N60" s="12"/>
      <c r="O60" s="8"/>
      <c r="P60" s="6"/>
      <c r="Q60" s="6"/>
      <c r="R60" s="6"/>
      <c r="S60" s="11"/>
      <c r="T60" s="11"/>
      <c r="U60" s="10"/>
      <c r="V60" s="10"/>
    </row>
    <row r="61" spans="1:22" ht="15" customHeight="1">
      <c r="A61" s="6"/>
      <c r="B61" s="7"/>
      <c r="C61" s="6" t="str">
        <f t="shared" si="0"/>
        <v/>
      </c>
      <c r="D61" s="8"/>
      <c r="E61" s="6"/>
      <c r="F61" s="6" t="str">
        <f>IF($E61="","",IFERROR(INDEX(Ansprechpartner!$F$4:$F$80,MATCH($E61,AP_Namen,0)),""))</f>
        <v/>
      </c>
      <c r="G61" s="6" t="str">
        <f>IF($E61="","",IFERROR(INDEX(Ansprechpartner!$C$4:$C$80,MATCH($E61,AP_Namen,0)),""))</f>
        <v/>
      </c>
      <c r="H61" s="6"/>
      <c r="I61" s="6"/>
      <c r="J61" s="6"/>
      <c r="K61" s="6"/>
      <c r="L61" s="10"/>
      <c r="M61" s="11"/>
      <c r="N61" s="12"/>
      <c r="O61" s="8"/>
      <c r="P61" s="6"/>
      <c r="Q61" s="6"/>
      <c r="R61" s="6"/>
      <c r="S61" s="11"/>
      <c r="T61" s="11"/>
      <c r="U61" s="10"/>
      <c r="V61" s="10"/>
    </row>
    <row r="62" spans="1:22" ht="15" customHeight="1">
      <c r="A62" s="6"/>
      <c r="B62" s="7"/>
      <c r="C62" s="6" t="str">
        <f t="shared" si="0"/>
        <v/>
      </c>
      <c r="D62" s="8"/>
      <c r="E62" s="6"/>
      <c r="F62" s="6" t="str">
        <f>IF($E62="","",IFERROR(INDEX(Ansprechpartner!$F$4:$F$80,MATCH($E62,AP_Namen,0)),""))</f>
        <v/>
      </c>
      <c r="G62" s="6" t="str">
        <f>IF($E62="","",IFERROR(INDEX(Ansprechpartner!$C$4:$C$80,MATCH($E62,AP_Namen,0)),""))</f>
        <v/>
      </c>
      <c r="H62" s="6"/>
      <c r="I62" s="6"/>
      <c r="J62" s="6"/>
      <c r="K62" s="6"/>
      <c r="L62" s="10"/>
      <c r="M62" s="11"/>
      <c r="N62" s="12"/>
      <c r="O62" s="8"/>
      <c r="P62" s="6"/>
      <c r="Q62" s="6"/>
      <c r="R62" s="6"/>
      <c r="S62" s="11"/>
      <c r="T62" s="11"/>
      <c r="U62" s="10"/>
      <c r="V62" s="10"/>
    </row>
    <row r="63" spans="1:22" ht="15" customHeight="1">
      <c r="A63" s="6"/>
      <c r="B63" s="7"/>
      <c r="C63" s="6" t="str">
        <f t="shared" si="0"/>
        <v/>
      </c>
      <c r="D63" s="8"/>
      <c r="E63" s="6"/>
      <c r="F63" s="6" t="str">
        <f>IF($E63="","",IFERROR(INDEX(Ansprechpartner!$F$4:$F$80,MATCH($E63,AP_Namen,0)),""))</f>
        <v/>
      </c>
      <c r="G63" s="6" t="str">
        <f>IF($E63="","",IFERROR(INDEX(Ansprechpartner!$C$4:$C$80,MATCH($E63,AP_Namen,0)),""))</f>
        <v/>
      </c>
      <c r="H63" s="6"/>
      <c r="I63" s="6"/>
      <c r="J63" s="6"/>
      <c r="K63" s="6"/>
      <c r="L63" s="10"/>
      <c r="M63" s="11"/>
      <c r="N63" s="12"/>
      <c r="O63" s="8"/>
      <c r="P63" s="6"/>
      <c r="Q63" s="6"/>
      <c r="R63" s="6"/>
      <c r="S63" s="11"/>
      <c r="T63" s="11"/>
      <c r="U63" s="10"/>
      <c r="V63" s="10"/>
    </row>
    <row r="64" spans="1:22" ht="15" customHeight="1">
      <c r="A64" s="6"/>
      <c r="B64" s="7"/>
      <c r="C64" s="6" t="str">
        <f t="shared" si="0"/>
        <v/>
      </c>
      <c r="D64" s="8"/>
      <c r="E64" s="6"/>
      <c r="F64" s="6" t="str">
        <f>IF($E64="","",IFERROR(INDEX(Ansprechpartner!$F$4:$F$80,MATCH($E64,AP_Namen,0)),""))</f>
        <v/>
      </c>
      <c r="G64" s="6" t="str">
        <f>IF($E64="","",IFERROR(INDEX(Ansprechpartner!$C$4:$C$80,MATCH($E64,AP_Namen,0)),""))</f>
        <v/>
      </c>
      <c r="H64" s="6"/>
      <c r="I64" s="6"/>
      <c r="J64" s="6"/>
      <c r="K64" s="6"/>
      <c r="L64" s="10"/>
      <c r="M64" s="11"/>
      <c r="N64" s="12"/>
      <c r="O64" s="8"/>
      <c r="P64" s="6"/>
      <c r="Q64" s="6"/>
      <c r="R64" s="6"/>
      <c r="S64" s="11"/>
      <c r="T64" s="11"/>
      <c r="U64" s="10"/>
      <c r="V64" s="10"/>
    </row>
    <row r="65" spans="1:22" ht="15" customHeight="1">
      <c r="A65" s="6"/>
      <c r="B65" s="7"/>
      <c r="C65" s="6" t="str">
        <f t="shared" si="0"/>
        <v/>
      </c>
      <c r="D65" s="8"/>
      <c r="E65" s="6"/>
      <c r="F65" s="6" t="str">
        <f>IF($E65="","",IFERROR(INDEX(Ansprechpartner!$F$4:$F$80,MATCH($E65,AP_Namen,0)),""))</f>
        <v/>
      </c>
      <c r="G65" s="6" t="str">
        <f>IF($E65="","",IFERROR(INDEX(Ansprechpartner!$C$4:$C$80,MATCH($E65,AP_Namen,0)),""))</f>
        <v/>
      </c>
      <c r="H65" s="6"/>
      <c r="I65" s="6"/>
      <c r="J65" s="6"/>
      <c r="K65" s="6"/>
      <c r="L65" s="10"/>
      <c r="M65" s="11"/>
      <c r="N65" s="12"/>
      <c r="O65" s="8"/>
      <c r="P65" s="6"/>
      <c r="Q65" s="6"/>
      <c r="R65" s="6"/>
      <c r="S65" s="11"/>
      <c r="T65" s="11"/>
      <c r="U65" s="10"/>
      <c r="V65" s="10"/>
    </row>
    <row r="66" spans="1:22" ht="15" customHeight="1">
      <c r="C66" t="str">
        <f t="shared" si="0"/>
        <v/>
      </c>
      <c r="F66" t="str">
        <f>IF($E66="","",IFERROR(INDEX(Ansprechpartner!$F$4:$F$80,MATCH($E66,AP_Namen,0)),""))</f>
        <v/>
      </c>
      <c r="G66" t="str">
        <f>IF($E66="","",IFERROR(INDEX(Ansprechpartner!$C$4:$C$80,MATCH($E66,AP_Namen,0)),""))</f>
        <v/>
      </c>
    </row>
    <row r="67" spans="1:22" ht="15" customHeight="1">
      <c r="C67" t="str">
        <f t="shared" si="0"/>
        <v/>
      </c>
      <c r="F67" t="str">
        <f>IF($E67="","",IFERROR(INDEX(Ansprechpartner!$F$4:$F$80,MATCH($E67,AP_Namen,0)),""))</f>
        <v/>
      </c>
      <c r="G67" t="str">
        <f>IF($E67="","",IFERROR(INDEX(Ansprechpartner!$C$4:$C$80,MATCH($E67,AP_Namen,0)),""))</f>
        <v/>
      </c>
    </row>
    <row r="68" spans="1:22" ht="15" customHeight="1">
      <c r="C68" t="str">
        <f t="shared" si="0"/>
        <v/>
      </c>
      <c r="F68" t="str">
        <f>IF($E68="","",IFERROR(INDEX(Ansprechpartner!$F$4:$F$80,MATCH($E68,AP_Namen,0)),""))</f>
        <v/>
      </c>
      <c r="G68" t="str">
        <f>IF($E68="","",IFERROR(INDEX(Ansprechpartner!$C$4:$C$80,MATCH($E68,AP_Namen,0)),""))</f>
        <v/>
      </c>
    </row>
    <row r="69" spans="1:22" ht="15" customHeight="1">
      <c r="C69" t="str">
        <f t="shared" si="0"/>
        <v/>
      </c>
      <c r="F69" t="str">
        <f>IF($E69="","",IFERROR(INDEX(Ansprechpartner!$F$4:$F$80,MATCH($E69,AP_Namen,0)),""))</f>
        <v/>
      </c>
      <c r="G69" t="str">
        <f>IF($E69="","",IFERROR(INDEX(Ansprechpartner!$C$4:$C$80,MATCH($E69,AP_Namen,0)),""))</f>
        <v/>
      </c>
    </row>
    <row r="70" spans="1:22" ht="15" customHeight="1">
      <c r="C70" t="str">
        <f t="shared" si="0"/>
        <v/>
      </c>
      <c r="F70" t="str">
        <f>IF($E70="","",IFERROR(INDEX(Ansprechpartner!$F$4:$F$80,MATCH($E70,AP_Namen,0)),""))</f>
        <v/>
      </c>
      <c r="G70" t="str">
        <f>IF($E70="","",IFERROR(INDEX(Ansprechpartner!$C$4:$C$80,MATCH($E70,AP_Namen,0)),""))</f>
        <v/>
      </c>
    </row>
    <row r="71" spans="1:22" ht="15" customHeight="1">
      <c r="C71" t="str">
        <f t="shared" si="0"/>
        <v/>
      </c>
      <c r="F71" t="str">
        <f>IF($E71="","",IFERROR(INDEX(Ansprechpartner!$F$4:$F$80,MATCH($E71,AP_Namen,0)),""))</f>
        <v/>
      </c>
      <c r="G71" t="str">
        <f>IF($E71="","",IFERROR(INDEX(Ansprechpartner!$C$4:$C$80,MATCH($E71,AP_Namen,0)),""))</f>
        <v/>
      </c>
    </row>
    <row r="72" spans="1:22" ht="15" customHeight="1">
      <c r="C72" t="str">
        <f t="shared" si="0"/>
        <v/>
      </c>
      <c r="F72" t="str">
        <f>IF($E72="","",IFERROR(INDEX(Ansprechpartner!$F$4:$F$80,MATCH($E72,AP_Namen,0)),""))</f>
        <v/>
      </c>
      <c r="G72" t="str">
        <f>IF($E72="","",IFERROR(INDEX(Ansprechpartner!$C$4:$C$80,MATCH($E72,AP_Namen,0)),""))</f>
        <v/>
      </c>
    </row>
    <row r="73" spans="1:22" ht="15" customHeight="1">
      <c r="C73" t="str">
        <f t="shared" si="0"/>
        <v/>
      </c>
      <c r="F73" t="str">
        <f>IF($E73="","",IFERROR(INDEX(Ansprechpartner!$F$4:$F$80,MATCH($E73,AP_Namen,0)),""))</f>
        <v/>
      </c>
      <c r="G73" t="str">
        <f>IF($E73="","",IFERROR(INDEX(Ansprechpartner!$C$4:$C$80,MATCH($E73,AP_Namen,0)),""))</f>
        <v/>
      </c>
    </row>
    <row r="74" spans="1:22" ht="15" customHeight="1">
      <c r="C74" t="str">
        <f t="shared" ref="C74:C137" si="2">IF(B74="","",CHOOSE(WEEKDAY(B74,2),"Montag","Dienstag","Mittwoch","Donnerstag","Freitag","Samstag","Sonntag"))</f>
        <v/>
      </c>
      <c r="F74" t="str">
        <f>IF($E74="","",IFERROR(INDEX(Ansprechpartner!$F$4:$F$80,MATCH($E74,AP_Namen,0)),""))</f>
        <v/>
      </c>
      <c r="G74" t="str">
        <f>IF($E74="","",IFERROR(INDEX(Ansprechpartner!$C$4:$C$80,MATCH($E74,AP_Namen,0)),""))</f>
        <v/>
      </c>
    </row>
    <row r="75" spans="1:22" ht="15" customHeight="1">
      <c r="C75" t="str">
        <f t="shared" si="2"/>
        <v/>
      </c>
      <c r="F75" t="str">
        <f>IF($E75="","",IFERROR(INDEX(Ansprechpartner!$F$4:$F$80,MATCH($E75,AP_Namen,0)),""))</f>
        <v/>
      </c>
      <c r="G75" t="str">
        <f>IF($E75="","",IFERROR(INDEX(Ansprechpartner!$C$4:$C$80,MATCH($E75,AP_Namen,0)),""))</f>
        <v/>
      </c>
    </row>
    <row r="76" spans="1:22" ht="15" customHeight="1">
      <c r="C76" t="str">
        <f t="shared" si="2"/>
        <v/>
      </c>
      <c r="F76" t="str">
        <f>IF($E76="","",IFERROR(INDEX(Ansprechpartner!$F$4:$F$80,MATCH($E76,AP_Namen,0)),""))</f>
        <v/>
      </c>
      <c r="G76" t="str">
        <f>IF($E76="","",IFERROR(INDEX(Ansprechpartner!$C$4:$C$80,MATCH($E76,AP_Namen,0)),""))</f>
        <v/>
      </c>
    </row>
    <row r="77" spans="1:22" ht="15" customHeight="1">
      <c r="C77" t="str">
        <f t="shared" si="2"/>
        <v/>
      </c>
      <c r="F77" t="str">
        <f>IF($E77="","",IFERROR(INDEX(Ansprechpartner!$F$4:$F$80,MATCH($E77,AP_Namen,0)),""))</f>
        <v/>
      </c>
      <c r="G77" t="str">
        <f>IF($E77="","",IFERROR(INDEX(Ansprechpartner!$C$4:$C$80,MATCH($E77,AP_Namen,0)),""))</f>
        <v/>
      </c>
    </row>
    <row r="78" spans="1:22" ht="15" customHeight="1">
      <c r="C78" t="str">
        <f t="shared" si="2"/>
        <v/>
      </c>
      <c r="F78" t="str">
        <f>IF($E78="","",IFERROR(INDEX(Ansprechpartner!$F$4:$F$80,MATCH($E78,AP_Namen,0)),""))</f>
        <v/>
      </c>
      <c r="G78" t="str">
        <f>IF($E78="","",IFERROR(INDEX(Ansprechpartner!$C$4:$C$80,MATCH($E78,AP_Namen,0)),""))</f>
        <v/>
      </c>
    </row>
    <row r="79" spans="1:22" ht="15" customHeight="1">
      <c r="C79" t="str">
        <f t="shared" si="2"/>
        <v/>
      </c>
      <c r="F79" t="str">
        <f>IF($E79="","",IFERROR(INDEX(Ansprechpartner!$F$4:$F$80,MATCH($E79,AP_Namen,0)),""))</f>
        <v/>
      </c>
      <c r="G79" t="str">
        <f>IF($E79="","",IFERROR(INDEX(Ansprechpartner!$C$4:$C$80,MATCH($E79,AP_Namen,0)),""))</f>
        <v/>
      </c>
    </row>
    <row r="80" spans="1:22" ht="15" customHeight="1">
      <c r="C80" t="str">
        <f t="shared" si="2"/>
        <v/>
      </c>
      <c r="F80" t="str">
        <f>IF($E80="","",IFERROR(INDEX(Ansprechpartner!$F$4:$F$80,MATCH($E80,AP_Namen,0)),""))</f>
        <v/>
      </c>
      <c r="G80" t="str">
        <f>IF($E80="","",IFERROR(INDEX(Ansprechpartner!$C$4:$C$80,MATCH($E80,AP_Namen,0)),""))</f>
        <v/>
      </c>
    </row>
    <row r="81" spans="3:7" ht="15" customHeight="1">
      <c r="C81" t="str">
        <f t="shared" si="2"/>
        <v/>
      </c>
      <c r="F81" t="str">
        <f>IF($E81="","",IFERROR(INDEX(Ansprechpartner!$F$4:$F$80,MATCH($E81,AP_Namen,0)),""))</f>
        <v/>
      </c>
      <c r="G81" t="str">
        <f>IF($E81="","",IFERROR(INDEX(Ansprechpartner!$C$4:$C$80,MATCH($E81,AP_Namen,0)),""))</f>
        <v/>
      </c>
    </row>
    <row r="82" spans="3:7" ht="15" customHeight="1">
      <c r="C82" t="str">
        <f t="shared" si="2"/>
        <v/>
      </c>
      <c r="F82" t="str">
        <f>IF($E82="","",IFERROR(INDEX(Ansprechpartner!$F$4:$F$80,MATCH($E82,AP_Namen,0)),""))</f>
        <v/>
      </c>
      <c r="G82" t="str">
        <f>IF($E82="","",IFERROR(INDEX(Ansprechpartner!$C$4:$C$80,MATCH($E82,AP_Namen,0)),""))</f>
        <v/>
      </c>
    </row>
    <row r="83" spans="3:7" ht="15" customHeight="1">
      <c r="C83" t="str">
        <f t="shared" si="2"/>
        <v/>
      </c>
      <c r="F83" t="str">
        <f>IF($E83="","",IFERROR(INDEX(Ansprechpartner!$F$4:$F$80,MATCH($E83,AP_Namen,0)),""))</f>
        <v/>
      </c>
      <c r="G83" t="str">
        <f>IF($E83="","",IFERROR(INDEX(Ansprechpartner!$C$4:$C$80,MATCH($E83,AP_Namen,0)),""))</f>
        <v/>
      </c>
    </row>
    <row r="84" spans="3:7" ht="15" customHeight="1">
      <c r="C84" t="str">
        <f t="shared" si="2"/>
        <v/>
      </c>
      <c r="F84" t="str">
        <f>IF($E84="","",IFERROR(INDEX(Ansprechpartner!$F$4:$F$80,MATCH($E84,AP_Namen,0)),""))</f>
        <v/>
      </c>
      <c r="G84" t="str">
        <f>IF($E84="","",IFERROR(INDEX(Ansprechpartner!$C$4:$C$80,MATCH($E84,AP_Namen,0)),""))</f>
        <v/>
      </c>
    </row>
    <row r="85" spans="3:7" ht="15" customHeight="1">
      <c r="C85" t="str">
        <f t="shared" si="2"/>
        <v/>
      </c>
      <c r="F85" t="str">
        <f>IF($E85="","",IFERROR(INDEX(Ansprechpartner!$F$4:$F$80,MATCH($E85,AP_Namen,0)),""))</f>
        <v/>
      </c>
      <c r="G85" t="str">
        <f>IF($E85="","",IFERROR(INDEX(Ansprechpartner!$C$4:$C$80,MATCH($E85,AP_Namen,0)),""))</f>
        <v/>
      </c>
    </row>
    <row r="86" spans="3:7" ht="15" customHeight="1">
      <c r="C86" t="str">
        <f t="shared" si="2"/>
        <v/>
      </c>
      <c r="F86" t="str">
        <f>IF($E86="","",IFERROR(INDEX(Ansprechpartner!$F$4:$F$80,MATCH($E86,AP_Namen,0)),""))</f>
        <v/>
      </c>
      <c r="G86" t="str">
        <f>IF($E86="","",IFERROR(INDEX(Ansprechpartner!$C$4:$C$80,MATCH($E86,AP_Namen,0)),""))</f>
        <v/>
      </c>
    </row>
    <row r="87" spans="3:7" ht="15" customHeight="1">
      <c r="C87" t="str">
        <f t="shared" si="2"/>
        <v/>
      </c>
      <c r="F87" t="str">
        <f>IF($E87="","",IFERROR(INDEX(Ansprechpartner!$F$4:$F$80,MATCH($E87,AP_Namen,0)),""))</f>
        <v/>
      </c>
      <c r="G87" t="str">
        <f>IF($E87="","",IFERROR(INDEX(Ansprechpartner!$C$4:$C$80,MATCH($E87,AP_Namen,0)),""))</f>
        <v/>
      </c>
    </row>
    <row r="88" spans="3:7" ht="15" customHeight="1">
      <c r="C88" t="str">
        <f t="shared" si="2"/>
        <v/>
      </c>
      <c r="F88" t="str">
        <f>IF($E88="","",IFERROR(INDEX(Ansprechpartner!$F$4:$F$80,MATCH($E88,AP_Namen,0)),""))</f>
        <v/>
      </c>
      <c r="G88" t="str">
        <f>IF($E88="","",IFERROR(INDEX(Ansprechpartner!$C$4:$C$80,MATCH($E88,AP_Namen,0)),""))</f>
        <v/>
      </c>
    </row>
    <row r="89" spans="3:7" ht="15" customHeight="1">
      <c r="C89" t="str">
        <f t="shared" si="2"/>
        <v/>
      </c>
      <c r="F89" t="str">
        <f>IF($E89="","",IFERROR(INDEX(Ansprechpartner!$F$4:$F$80,MATCH($E89,AP_Namen,0)),""))</f>
        <v/>
      </c>
      <c r="G89" t="str">
        <f>IF($E89="","",IFERROR(INDEX(Ansprechpartner!$C$4:$C$80,MATCH($E89,AP_Namen,0)),""))</f>
        <v/>
      </c>
    </row>
    <row r="90" spans="3:7" ht="15" customHeight="1">
      <c r="C90" t="str">
        <f t="shared" si="2"/>
        <v/>
      </c>
      <c r="F90" t="str">
        <f>IF($E90="","",IFERROR(INDEX(Ansprechpartner!$F$4:$F$80,MATCH($E90,AP_Namen,0)),""))</f>
        <v/>
      </c>
      <c r="G90" t="str">
        <f>IF($E90="","",IFERROR(INDEX(Ansprechpartner!$C$4:$C$80,MATCH($E90,AP_Namen,0)),""))</f>
        <v/>
      </c>
    </row>
    <row r="91" spans="3:7" ht="15" customHeight="1">
      <c r="C91" t="str">
        <f t="shared" si="2"/>
        <v/>
      </c>
      <c r="F91" t="str">
        <f>IF($E91="","",IFERROR(INDEX(Ansprechpartner!$F$4:$F$80,MATCH($E91,AP_Namen,0)),""))</f>
        <v/>
      </c>
      <c r="G91" t="str">
        <f>IF($E91="","",IFERROR(INDEX(Ansprechpartner!$C$4:$C$80,MATCH($E91,AP_Namen,0)),""))</f>
        <v/>
      </c>
    </row>
    <row r="92" spans="3:7" ht="15" customHeight="1">
      <c r="C92" t="str">
        <f t="shared" si="2"/>
        <v/>
      </c>
      <c r="F92" t="str">
        <f>IF($E92="","",IFERROR(INDEX(Ansprechpartner!$F$4:$F$80,MATCH($E92,AP_Namen,0)),""))</f>
        <v/>
      </c>
      <c r="G92" t="str">
        <f>IF($E92="","",IFERROR(INDEX(Ansprechpartner!$C$4:$C$80,MATCH($E92,AP_Namen,0)),""))</f>
        <v/>
      </c>
    </row>
    <row r="93" spans="3:7" ht="15" customHeight="1">
      <c r="C93" t="str">
        <f t="shared" si="2"/>
        <v/>
      </c>
      <c r="F93" t="str">
        <f>IF($E93="","",IFERROR(INDEX(Ansprechpartner!$F$4:$F$80,MATCH($E93,AP_Namen,0)),""))</f>
        <v/>
      </c>
      <c r="G93" t="str">
        <f>IF($E93="","",IFERROR(INDEX(Ansprechpartner!$C$4:$C$80,MATCH($E93,AP_Namen,0)),""))</f>
        <v/>
      </c>
    </row>
    <row r="94" spans="3:7" ht="15" customHeight="1">
      <c r="C94" t="str">
        <f t="shared" si="2"/>
        <v/>
      </c>
      <c r="F94" t="str">
        <f>IF($E94="","",IFERROR(INDEX(Ansprechpartner!$F$4:$F$80,MATCH($E94,AP_Namen,0)),""))</f>
        <v/>
      </c>
      <c r="G94" t="str">
        <f>IF($E94="","",IFERROR(INDEX(Ansprechpartner!$C$4:$C$80,MATCH($E94,AP_Namen,0)),""))</f>
        <v/>
      </c>
    </row>
    <row r="95" spans="3:7" ht="15" customHeight="1">
      <c r="C95" t="str">
        <f t="shared" si="2"/>
        <v/>
      </c>
      <c r="F95" t="str">
        <f>IF($E95="","",IFERROR(INDEX(Ansprechpartner!$F$4:$F$80,MATCH($E95,AP_Namen,0)),""))</f>
        <v/>
      </c>
      <c r="G95" t="str">
        <f>IF($E95="","",IFERROR(INDEX(Ansprechpartner!$C$4:$C$80,MATCH($E95,AP_Namen,0)),""))</f>
        <v/>
      </c>
    </row>
    <row r="96" spans="3:7" ht="15" customHeight="1">
      <c r="C96" t="str">
        <f t="shared" si="2"/>
        <v/>
      </c>
      <c r="F96" t="str">
        <f>IF($E96="","",IFERROR(INDEX(Ansprechpartner!$F$4:$F$80,MATCH($E96,AP_Namen,0)),""))</f>
        <v/>
      </c>
      <c r="G96" t="str">
        <f>IF($E96="","",IFERROR(INDEX(Ansprechpartner!$C$4:$C$80,MATCH($E96,AP_Namen,0)),""))</f>
        <v/>
      </c>
    </row>
    <row r="97" spans="3:7" ht="15" customHeight="1">
      <c r="C97" t="str">
        <f t="shared" si="2"/>
        <v/>
      </c>
      <c r="F97" t="str">
        <f>IF($E97="","",IFERROR(INDEX(Ansprechpartner!$F$4:$F$80,MATCH($E97,AP_Namen,0)),""))</f>
        <v/>
      </c>
      <c r="G97" t="str">
        <f>IF($E97="","",IFERROR(INDEX(Ansprechpartner!$C$4:$C$80,MATCH($E97,AP_Namen,0)),""))</f>
        <v/>
      </c>
    </row>
    <row r="98" spans="3:7" ht="15" customHeight="1">
      <c r="C98" t="str">
        <f t="shared" si="2"/>
        <v/>
      </c>
      <c r="F98" t="str">
        <f>IF($E98="","",IFERROR(INDEX(Ansprechpartner!$F$4:$F$80,MATCH($E98,AP_Namen,0)),""))</f>
        <v/>
      </c>
      <c r="G98" t="str">
        <f>IF($E98="","",IFERROR(INDEX(Ansprechpartner!$C$4:$C$80,MATCH($E98,AP_Namen,0)),""))</f>
        <v/>
      </c>
    </row>
    <row r="99" spans="3:7" ht="15" customHeight="1">
      <c r="C99" t="str">
        <f t="shared" si="2"/>
        <v/>
      </c>
      <c r="F99" t="str">
        <f>IF($E99="","",IFERROR(INDEX(Ansprechpartner!$F$4:$F$80,MATCH($E99,AP_Namen,0)),""))</f>
        <v/>
      </c>
      <c r="G99" t="str">
        <f>IF($E99="","",IFERROR(INDEX(Ansprechpartner!$C$4:$C$80,MATCH($E99,AP_Namen,0)),""))</f>
        <v/>
      </c>
    </row>
    <row r="100" spans="3:7" ht="15" customHeight="1">
      <c r="C100" t="str">
        <f t="shared" si="2"/>
        <v/>
      </c>
      <c r="F100" t="str">
        <f>IF($E100="","",IFERROR(INDEX(Ansprechpartner!$F$4:$F$80,MATCH($E100,AP_Namen,0)),""))</f>
        <v/>
      </c>
      <c r="G100" t="str">
        <f>IF($E100="","",IFERROR(INDEX(Ansprechpartner!$C$4:$C$80,MATCH($E100,AP_Namen,0)),""))</f>
        <v/>
      </c>
    </row>
    <row r="101" spans="3:7" ht="15" customHeight="1">
      <c r="C101" t="str">
        <f t="shared" si="2"/>
        <v/>
      </c>
      <c r="F101" t="str">
        <f>IF($E101="","",IFERROR(INDEX(Ansprechpartner!$F$4:$F$80,MATCH($E101,AP_Namen,0)),""))</f>
        <v/>
      </c>
      <c r="G101" t="str">
        <f>IF($E101="","",IFERROR(INDEX(Ansprechpartner!$C$4:$C$80,MATCH($E101,AP_Namen,0)),""))</f>
        <v/>
      </c>
    </row>
    <row r="102" spans="3:7" ht="15" customHeight="1">
      <c r="C102" t="str">
        <f t="shared" si="2"/>
        <v/>
      </c>
      <c r="F102" t="str">
        <f>IF($E102="","",IFERROR(INDEX(Ansprechpartner!$F$4:$F$80,MATCH($E102,AP_Namen,0)),""))</f>
        <v/>
      </c>
      <c r="G102" t="str">
        <f>IF($E102="","",IFERROR(INDEX(Ansprechpartner!$C$4:$C$80,MATCH($E102,AP_Namen,0)),""))</f>
        <v/>
      </c>
    </row>
    <row r="103" spans="3:7" ht="15" customHeight="1">
      <c r="C103" t="str">
        <f t="shared" si="2"/>
        <v/>
      </c>
      <c r="F103" t="str">
        <f>IF($E103="","",IFERROR(INDEX(Ansprechpartner!$F$4:$F$80,MATCH($E103,AP_Namen,0)),""))</f>
        <v/>
      </c>
      <c r="G103" t="str">
        <f>IF($E103="","",IFERROR(INDEX(Ansprechpartner!$C$4:$C$80,MATCH($E103,AP_Namen,0)),""))</f>
        <v/>
      </c>
    </row>
    <row r="104" spans="3:7" ht="15" customHeight="1">
      <c r="C104" t="str">
        <f t="shared" si="2"/>
        <v/>
      </c>
      <c r="F104" t="str">
        <f>IF($E104="","",IFERROR(INDEX(Ansprechpartner!$F$4:$F$80,MATCH($E104,AP_Namen,0)),""))</f>
        <v/>
      </c>
      <c r="G104" t="str">
        <f>IF($E104="","",IFERROR(INDEX(Ansprechpartner!$C$4:$C$80,MATCH($E104,AP_Namen,0)),""))</f>
        <v/>
      </c>
    </row>
    <row r="105" spans="3:7" ht="15" customHeight="1">
      <c r="C105" t="str">
        <f t="shared" si="2"/>
        <v/>
      </c>
      <c r="F105" t="str">
        <f>IF($E105="","",IFERROR(INDEX(Ansprechpartner!$F$4:$F$80,MATCH($E105,AP_Namen,0)),""))</f>
        <v/>
      </c>
      <c r="G105" t="str">
        <f>IF($E105="","",IFERROR(INDEX(Ansprechpartner!$C$4:$C$80,MATCH($E105,AP_Namen,0)),""))</f>
        <v/>
      </c>
    </row>
    <row r="106" spans="3:7" ht="15" customHeight="1">
      <c r="C106" t="str">
        <f t="shared" si="2"/>
        <v/>
      </c>
      <c r="F106" t="str">
        <f>IF($E106="","",IFERROR(INDEX(Ansprechpartner!$F$4:$F$80,MATCH($E106,AP_Namen,0)),""))</f>
        <v/>
      </c>
      <c r="G106" t="str">
        <f>IF($E106="","",IFERROR(INDEX(Ansprechpartner!$C$4:$C$80,MATCH($E106,AP_Namen,0)),""))</f>
        <v/>
      </c>
    </row>
    <row r="107" spans="3:7" ht="15" customHeight="1">
      <c r="C107" t="str">
        <f t="shared" si="2"/>
        <v/>
      </c>
      <c r="F107" t="str">
        <f>IF($E107="","",IFERROR(INDEX(Ansprechpartner!$F$4:$F$80,MATCH($E107,AP_Namen,0)),""))</f>
        <v/>
      </c>
      <c r="G107" t="str">
        <f>IF($E107="","",IFERROR(INDEX(Ansprechpartner!$C$4:$C$80,MATCH($E107,AP_Namen,0)),""))</f>
        <v/>
      </c>
    </row>
    <row r="108" spans="3:7" ht="15" customHeight="1">
      <c r="C108" t="str">
        <f t="shared" si="2"/>
        <v/>
      </c>
      <c r="F108" t="str">
        <f>IF($E108="","",IFERROR(INDEX(Ansprechpartner!$F$4:$F$80,MATCH($E108,AP_Namen,0)),""))</f>
        <v/>
      </c>
      <c r="G108" t="str">
        <f>IF($E108="","",IFERROR(INDEX(Ansprechpartner!$C$4:$C$80,MATCH($E108,AP_Namen,0)),""))</f>
        <v/>
      </c>
    </row>
    <row r="109" spans="3:7" ht="15" customHeight="1">
      <c r="C109" t="str">
        <f t="shared" si="2"/>
        <v/>
      </c>
      <c r="F109" t="str">
        <f>IF($E109="","",IFERROR(INDEX(Ansprechpartner!$F$4:$F$80,MATCH($E109,AP_Namen,0)),""))</f>
        <v/>
      </c>
      <c r="G109" t="str">
        <f>IF($E109="","",IFERROR(INDEX(Ansprechpartner!$C$4:$C$80,MATCH($E109,AP_Namen,0)),""))</f>
        <v/>
      </c>
    </row>
    <row r="110" spans="3:7" ht="15" customHeight="1">
      <c r="C110" t="str">
        <f t="shared" si="2"/>
        <v/>
      </c>
      <c r="F110" t="str">
        <f>IF($E110="","",IFERROR(INDEX(Ansprechpartner!$F$4:$F$80,MATCH($E110,AP_Namen,0)),""))</f>
        <v/>
      </c>
      <c r="G110" t="str">
        <f>IF($E110="","",IFERROR(INDEX(Ansprechpartner!$C$4:$C$80,MATCH($E110,AP_Namen,0)),""))</f>
        <v/>
      </c>
    </row>
    <row r="111" spans="3:7" ht="15" customHeight="1">
      <c r="C111" t="str">
        <f t="shared" si="2"/>
        <v/>
      </c>
      <c r="F111" t="str">
        <f>IF($E111="","",IFERROR(INDEX(Ansprechpartner!$F$4:$F$80,MATCH($E111,AP_Namen,0)),""))</f>
        <v/>
      </c>
      <c r="G111" t="str">
        <f>IF($E111="","",IFERROR(INDEX(Ansprechpartner!$C$4:$C$80,MATCH($E111,AP_Namen,0)),""))</f>
        <v/>
      </c>
    </row>
    <row r="112" spans="3:7" ht="15" customHeight="1">
      <c r="C112" t="str">
        <f t="shared" si="2"/>
        <v/>
      </c>
      <c r="F112" t="str">
        <f>IF($E112="","",IFERROR(INDEX(Ansprechpartner!$F$4:$F$80,MATCH($E112,AP_Namen,0)),""))</f>
        <v/>
      </c>
      <c r="G112" t="str">
        <f>IF($E112="","",IFERROR(INDEX(Ansprechpartner!$C$4:$C$80,MATCH($E112,AP_Namen,0)),""))</f>
        <v/>
      </c>
    </row>
    <row r="113" spans="3:7" ht="15" customHeight="1">
      <c r="C113" t="str">
        <f t="shared" si="2"/>
        <v/>
      </c>
      <c r="F113" t="str">
        <f>IF($E113="","",IFERROR(INDEX(Ansprechpartner!$F$4:$F$80,MATCH($E113,AP_Namen,0)),""))</f>
        <v/>
      </c>
      <c r="G113" t="str">
        <f>IF($E113="","",IFERROR(INDEX(Ansprechpartner!$C$4:$C$80,MATCH($E113,AP_Namen,0)),""))</f>
        <v/>
      </c>
    </row>
    <row r="114" spans="3:7" ht="15" customHeight="1">
      <c r="C114" t="str">
        <f t="shared" si="2"/>
        <v/>
      </c>
      <c r="F114" t="str">
        <f>IF($E114="","",IFERROR(INDEX(Ansprechpartner!$F$4:$F$80,MATCH($E114,AP_Namen,0)),""))</f>
        <v/>
      </c>
      <c r="G114" t="str">
        <f>IF($E114="","",IFERROR(INDEX(Ansprechpartner!$C$4:$C$80,MATCH($E114,AP_Namen,0)),""))</f>
        <v/>
      </c>
    </row>
    <row r="115" spans="3:7" ht="15" customHeight="1">
      <c r="C115" t="str">
        <f t="shared" si="2"/>
        <v/>
      </c>
      <c r="F115" t="str">
        <f>IF($E115="","",IFERROR(INDEX(Ansprechpartner!$F$4:$F$80,MATCH($E115,AP_Namen,0)),""))</f>
        <v/>
      </c>
      <c r="G115" t="str">
        <f>IF($E115="","",IFERROR(INDEX(Ansprechpartner!$C$4:$C$80,MATCH($E115,AP_Namen,0)),""))</f>
        <v/>
      </c>
    </row>
    <row r="116" spans="3:7" ht="15" customHeight="1">
      <c r="C116" t="str">
        <f t="shared" si="2"/>
        <v/>
      </c>
      <c r="F116" t="str">
        <f>IF($E116="","",IFERROR(INDEX(Ansprechpartner!$F$4:$F$80,MATCH($E116,AP_Namen,0)),""))</f>
        <v/>
      </c>
      <c r="G116" t="str">
        <f>IF($E116="","",IFERROR(INDEX(Ansprechpartner!$C$4:$C$80,MATCH($E116,AP_Namen,0)),""))</f>
        <v/>
      </c>
    </row>
    <row r="117" spans="3:7" ht="15" customHeight="1">
      <c r="C117" t="str">
        <f t="shared" si="2"/>
        <v/>
      </c>
      <c r="F117" t="str">
        <f>IF($E117="","",IFERROR(INDEX(Ansprechpartner!$F$4:$F$80,MATCH($E117,AP_Namen,0)),""))</f>
        <v/>
      </c>
      <c r="G117" t="str">
        <f>IF($E117="","",IFERROR(INDEX(Ansprechpartner!$C$4:$C$80,MATCH($E117,AP_Namen,0)),""))</f>
        <v/>
      </c>
    </row>
    <row r="118" spans="3:7" ht="15" customHeight="1">
      <c r="C118" t="str">
        <f t="shared" si="2"/>
        <v/>
      </c>
      <c r="F118" t="str">
        <f>IF($E118="","",IFERROR(INDEX(Ansprechpartner!$F$4:$F$80,MATCH($E118,AP_Namen,0)),""))</f>
        <v/>
      </c>
      <c r="G118" t="str">
        <f>IF($E118="","",IFERROR(INDEX(Ansprechpartner!$C$4:$C$80,MATCH($E118,AP_Namen,0)),""))</f>
        <v/>
      </c>
    </row>
    <row r="119" spans="3:7" ht="15" customHeight="1">
      <c r="C119" t="str">
        <f t="shared" si="2"/>
        <v/>
      </c>
      <c r="F119" t="str">
        <f>IF($E119="","",IFERROR(INDEX(Ansprechpartner!$F$4:$F$80,MATCH($E119,AP_Namen,0)),""))</f>
        <v/>
      </c>
      <c r="G119" t="str">
        <f>IF($E119="","",IFERROR(INDEX(Ansprechpartner!$C$4:$C$80,MATCH($E119,AP_Namen,0)),""))</f>
        <v/>
      </c>
    </row>
    <row r="120" spans="3:7" ht="15" customHeight="1">
      <c r="C120" t="str">
        <f t="shared" si="2"/>
        <v/>
      </c>
      <c r="F120" t="str">
        <f>IF($E120="","",IFERROR(INDEX(Ansprechpartner!$F$4:$F$80,MATCH($E120,AP_Namen,0)),""))</f>
        <v/>
      </c>
      <c r="G120" t="str">
        <f>IF($E120="","",IFERROR(INDEX(Ansprechpartner!$C$4:$C$80,MATCH($E120,AP_Namen,0)),""))</f>
        <v/>
      </c>
    </row>
    <row r="121" spans="3:7" ht="15" customHeight="1">
      <c r="C121" t="str">
        <f t="shared" si="2"/>
        <v/>
      </c>
      <c r="F121" t="str">
        <f>IF($E121="","",IFERROR(INDEX(Ansprechpartner!$F$4:$F$80,MATCH($E121,AP_Namen,0)),""))</f>
        <v/>
      </c>
      <c r="G121" t="str">
        <f>IF($E121="","",IFERROR(INDEX(Ansprechpartner!$C$4:$C$80,MATCH($E121,AP_Namen,0)),""))</f>
        <v/>
      </c>
    </row>
    <row r="122" spans="3:7" ht="15" customHeight="1">
      <c r="C122" t="str">
        <f t="shared" si="2"/>
        <v/>
      </c>
      <c r="F122" t="str">
        <f>IF($E122="","",IFERROR(INDEX(Ansprechpartner!$F$4:$F$80,MATCH($E122,AP_Namen,0)),""))</f>
        <v/>
      </c>
      <c r="G122" t="str">
        <f>IF($E122="","",IFERROR(INDEX(Ansprechpartner!$C$4:$C$80,MATCH($E122,AP_Namen,0)),""))</f>
        <v/>
      </c>
    </row>
    <row r="123" spans="3:7" ht="15" customHeight="1">
      <c r="C123" t="str">
        <f t="shared" si="2"/>
        <v/>
      </c>
      <c r="F123" t="str">
        <f>IF($E123="","",IFERROR(INDEX(Ansprechpartner!$F$4:$F$80,MATCH($E123,AP_Namen,0)),""))</f>
        <v/>
      </c>
      <c r="G123" t="str">
        <f>IF($E123="","",IFERROR(INDEX(Ansprechpartner!$C$4:$C$80,MATCH($E123,AP_Namen,0)),""))</f>
        <v/>
      </c>
    </row>
    <row r="124" spans="3:7" ht="15" customHeight="1">
      <c r="C124" t="str">
        <f t="shared" si="2"/>
        <v/>
      </c>
      <c r="F124" t="str">
        <f>IF($E124="","",IFERROR(INDEX(Ansprechpartner!$F$4:$F$80,MATCH($E124,AP_Namen,0)),""))</f>
        <v/>
      </c>
      <c r="G124" t="str">
        <f>IF($E124="","",IFERROR(INDEX(Ansprechpartner!$C$4:$C$80,MATCH($E124,AP_Namen,0)),""))</f>
        <v/>
      </c>
    </row>
    <row r="125" spans="3:7" ht="15" customHeight="1">
      <c r="C125" t="str">
        <f t="shared" si="2"/>
        <v/>
      </c>
      <c r="F125" t="str">
        <f>IF($E125="","",IFERROR(INDEX(Ansprechpartner!$F$4:$F$80,MATCH($E125,AP_Namen,0)),""))</f>
        <v/>
      </c>
      <c r="G125" t="str">
        <f>IF($E125="","",IFERROR(INDEX(Ansprechpartner!$C$4:$C$80,MATCH($E125,AP_Namen,0)),""))</f>
        <v/>
      </c>
    </row>
    <row r="126" spans="3:7" ht="15" customHeight="1">
      <c r="C126" t="str">
        <f t="shared" si="2"/>
        <v/>
      </c>
      <c r="F126" t="str">
        <f>IF($E126="","",IFERROR(INDEX(Ansprechpartner!$F$4:$F$80,MATCH($E126,AP_Namen,0)),""))</f>
        <v/>
      </c>
      <c r="G126" t="str">
        <f>IF($E126="","",IFERROR(INDEX(Ansprechpartner!$C$4:$C$80,MATCH($E126,AP_Namen,0)),""))</f>
        <v/>
      </c>
    </row>
    <row r="127" spans="3:7" ht="15" customHeight="1">
      <c r="C127" t="str">
        <f t="shared" si="2"/>
        <v/>
      </c>
      <c r="F127" t="str">
        <f>IF($E127="","",IFERROR(INDEX(Ansprechpartner!$F$4:$F$80,MATCH($E127,AP_Namen,0)),""))</f>
        <v/>
      </c>
      <c r="G127" t="str">
        <f>IF($E127="","",IFERROR(INDEX(Ansprechpartner!$C$4:$C$80,MATCH($E127,AP_Namen,0)),""))</f>
        <v/>
      </c>
    </row>
    <row r="128" spans="3:7" ht="15" customHeight="1">
      <c r="C128" t="str">
        <f t="shared" si="2"/>
        <v/>
      </c>
      <c r="F128" t="str">
        <f>IF($E128="","",IFERROR(INDEX(Ansprechpartner!$F$4:$F$80,MATCH($E128,AP_Namen,0)),""))</f>
        <v/>
      </c>
      <c r="G128" t="str">
        <f>IF($E128="","",IFERROR(INDEX(Ansprechpartner!$C$4:$C$80,MATCH($E128,AP_Namen,0)),""))</f>
        <v/>
      </c>
    </row>
    <row r="129" spans="3:7" ht="15" customHeight="1">
      <c r="C129" t="str">
        <f t="shared" si="2"/>
        <v/>
      </c>
      <c r="F129" t="str">
        <f>IF($E129="","",IFERROR(INDEX(Ansprechpartner!$F$4:$F$80,MATCH($E129,AP_Namen,0)),""))</f>
        <v/>
      </c>
      <c r="G129" t="str">
        <f>IF($E129="","",IFERROR(INDEX(Ansprechpartner!$C$4:$C$80,MATCH($E129,AP_Namen,0)),""))</f>
        <v/>
      </c>
    </row>
    <row r="130" spans="3:7" ht="15" customHeight="1">
      <c r="C130" t="str">
        <f t="shared" si="2"/>
        <v/>
      </c>
      <c r="F130" t="str">
        <f>IF($E130="","",IFERROR(INDEX(Ansprechpartner!$F$4:$F$80,MATCH($E130,AP_Namen,0)),""))</f>
        <v/>
      </c>
      <c r="G130" t="str">
        <f>IF($E130="","",IFERROR(INDEX(Ansprechpartner!$C$4:$C$80,MATCH($E130,AP_Namen,0)),""))</f>
        <v/>
      </c>
    </row>
    <row r="131" spans="3:7" ht="15" customHeight="1">
      <c r="C131" t="str">
        <f t="shared" si="2"/>
        <v/>
      </c>
      <c r="F131" t="str">
        <f>IF($E131="","",IFERROR(INDEX(Ansprechpartner!$F$4:$F$80,MATCH($E131,AP_Namen,0)),""))</f>
        <v/>
      </c>
      <c r="G131" t="str">
        <f>IF($E131="","",IFERROR(INDEX(Ansprechpartner!$C$4:$C$80,MATCH($E131,AP_Namen,0)),""))</f>
        <v/>
      </c>
    </row>
    <row r="132" spans="3:7" ht="15" customHeight="1">
      <c r="C132" t="str">
        <f t="shared" si="2"/>
        <v/>
      </c>
      <c r="F132" t="str">
        <f>IF($E132="","",IFERROR(INDEX(Ansprechpartner!$F$4:$F$80,MATCH($E132,AP_Namen,0)),""))</f>
        <v/>
      </c>
      <c r="G132" t="str">
        <f>IF($E132="","",IFERROR(INDEX(Ansprechpartner!$C$4:$C$80,MATCH($E132,AP_Namen,0)),""))</f>
        <v/>
      </c>
    </row>
    <row r="133" spans="3:7" ht="15" customHeight="1">
      <c r="C133" t="str">
        <f t="shared" si="2"/>
        <v/>
      </c>
      <c r="F133" t="str">
        <f>IF($E133="","",IFERROR(INDEX(Ansprechpartner!$F$4:$F$80,MATCH($E133,AP_Namen,0)),""))</f>
        <v/>
      </c>
      <c r="G133" t="str">
        <f>IF($E133="","",IFERROR(INDEX(Ansprechpartner!$C$4:$C$80,MATCH($E133,AP_Namen,0)),""))</f>
        <v/>
      </c>
    </row>
    <row r="134" spans="3:7" ht="15" customHeight="1">
      <c r="C134" t="str">
        <f t="shared" si="2"/>
        <v/>
      </c>
      <c r="F134" t="str">
        <f>IF($E134="","",IFERROR(INDEX(Ansprechpartner!$F$4:$F$80,MATCH($E134,AP_Namen,0)),""))</f>
        <v/>
      </c>
      <c r="G134" t="str">
        <f>IF($E134="","",IFERROR(INDEX(Ansprechpartner!$C$4:$C$80,MATCH($E134,AP_Namen,0)),""))</f>
        <v/>
      </c>
    </row>
    <row r="135" spans="3:7" ht="15" customHeight="1">
      <c r="C135" t="str">
        <f t="shared" si="2"/>
        <v/>
      </c>
      <c r="F135" t="str">
        <f>IF($E135="","",IFERROR(INDEX(Ansprechpartner!$F$4:$F$80,MATCH($E135,AP_Namen,0)),""))</f>
        <v/>
      </c>
      <c r="G135" t="str">
        <f>IF($E135="","",IFERROR(INDEX(Ansprechpartner!$C$4:$C$80,MATCH($E135,AP_Namen,0)),""))</f>
        <v/>
      </c>
    </row>
    <row r="136" spans="3:7" ht="15" customHeight="1">
      <c r="C136" t="str">
        <f t="shared" si="2"/>
        <v/>
      </c>
      <c r="F136" t="str">
        <f>IF($E136="","",IFERROR(INDEX(Ansprechpartner!$F$4:$F$80,MATCH($E136,AP_Namen,0)),""))</f>
        <v/>
      </c>
      <c r="G136" t="str">
        <f>IF($E136="","",IFERROR(INDEX(Ansprechpartner!$C$4:$C$80,MATCH($E136,AP_Namen,0)),""))</f>
        <v/>
      </c>
    </row>
    <row r="137" spans="3:7" ht="15" customHeight="1">
      <c r="C137" t="str">
        <f t="shared" si="2"/>
        <v/>
      </c>
      <c r="F137" t="str">
        <f>IF($E137="","",IFERROR(INDEX(Ansprechpartner!$F$4:$F$80,MATCH($E137,AP_Namen,0)),""))</f>
        <v/>
      </c>
      <c r="G137" t="str">
        <f>IF($E137="","",IFERROR(INDEX(Ansprechpartner!$C$4:$C$80,MATCH($E137,AP_Namen,0)),""))</f>
        <v/>
      </c>
    </row>
    <row r="138" spans="3:7" ht="15" customHeight="1">
      <c r="C138" t="str">
        <f t="shared" ref="C138:C201" si="3">IF(B138="","",CHOOSE(WEEKDAY(B138,2),"Montag","Dienstag","Mittwoch","Donnerstag","Freitag","Samstag","Sonntag"))</f>
        <v/>
      </c>
      <c r="F138" t="str">
        <f>IF($E138="","",IFERROR(INDEX(Ansprechpartner!$F$4:$F$80,MATCH($E138,AP_Namen,0)),""))</f>
        <v/>
      </c>
      <c r="G138" t="str">
        <f>IF($E138="","",IFERROR(INDEX(Ansprechpartner!$C$4:$C$80,MATCH($E138,AP_Namen,0)),""))</f>
        <v/>
      </c>
    </row>
    <row r="139" spans="3:7" ht="15" customHeight="1">
      <c r="C139" t="str">
        <f t="shared" si="3"/>
        <v/>
      </c>
      <c r="F139" t="str">
        <f>IF($E139="","",IFERROR(INDEX(Ansprechpartner!$F$4:$F$80,MATCH($E139,AP_Namen,0)),""))</f>
        <v/>
      </c>
      <c r="G139" t="str">
        <f>IF($E139="","",IFERROR(INDEX(Ansprechpartner!$C$4:$C$80,MATCH($E139,AP_Namen,0)),""))</f>
        <v/>
      </c>
    </row>
    <row r="140" spans="3:7" ht="15" customHeight="1">
      <c r="C140" t="str">
        <f t="shared" si="3"/>
        <v/>
      </c>
      <c r="F140" t="str">
        <f>IF($E140="","",IFERROR(INDEX(Ansprechpartner!$F$4:$F$80,MATCH($E140,AP_Namen,0)),""))</f>
        <v/>
      </c>
      <c r="G140" t="str">
        <f>IF($E140="","",IFERROR(INDEX(Ansprechpartner!$C$4:$C$80,MATCH($E140,AP_Namen,0)),""))</f>
        <v/>
      </c>
    </row>
    <row r="141" spans="3:7" ht="15" customHeight="1">
      <c r="C141" t="str">
        <f t="shared" si="3"/>
        <v/>
      </c>
      <c r="F141" t="str">
        <f>IF($E141="","",IFERROR(INDEX(Ansprechpartner!$F$4:$F$80,MATCH($E141,AP_Namen,0)),""))</f>
        <v/>
      </c>
      <c r="G141" t="str">
        <f>IF($E141="","",IFERROR(INDEX(Ansprechpartner!$C$4:$C$80,MATCH($E141,AP_Namen,0)),""))</f>
        <v/>
      </c>
    </row>
    <row r="142" spans="3:7" ht="15" customHeight="1">
      <c r="C142" t="str">
        <f t="shared" si="3"/>
        <v/>
      </c>
      <c r="F142" t="str">
        <f>IF($E142="","",IFERROR(INDEX(Ansprechpartner!$F$4:$F$80,MATCH($E142,AP_Namen,0)),""))</f>
        <v/>
      </c>
      <c r="G142" t="str">
        <f>IF($E142="","",IFERROR(INDEX(Ansprechpartner!$C$4:$C$80,MATCH($E142,AP_Namen,0)),""))</f>
        <v/>
      </c>
    </row>
    <row r="143" spans="3:7" ht="15" customHeight="1">
      <c r="C143" t="str">
        <f t="shared" si="3"/>
        <v/>
      </c>
      <c r="F143" t="str">
        <f>IF($E143="","",IFERROR(INDEX(Ansprechpartner!$F$4:$F$80,MATCH($E143,AP_Namen,0)),""))</f>
        <v/>
      </c>
      <c r="G143" t="str">
        <f>IF($E143="","",IFERROR(INDEX(Ansprechpartner!$C$4:$C$80,MATCH($E143,AP_Namen,0)),""))</f>
        <v/>
      </c>
    </row>
    <row r="144" spans="3:7" ht="15" customHeight="1">
      <c r="C144" t="str">
        <f t="shared" si="3"/>
        <v/>
      </c>
      <c r="F144" t="str">
        <f>IF($E144="","",IFERROR(INDEX(Ansprechpartner!$F$4:$F$80,MATCH($E144,AP_Namen,0)),""))</f>
        <v/>
      </c>
      <c r="G144" t="str">
        <f>IF($E144="","",IFERROR(INDEX(Ansprechpartner!$C$4:$C$80,MATCH($E144,AP_Namen,0)),""))</f>
        <v/>
      </c>
    </row>
    <row r="145" spans="3:7" ht="15" customHeight="1">
      <c r="C145" t="str">
        <f t="shared" si="3"/>
        <v/>
      </c>
      <c r="F145" t="str">
        <f>IF($E145="","",IFERROR(INDEX(Ansprechpartner!$F$4:$F$80,MATCH($E145,AP_Namen,0)),""))</f>
        <v/>
      </c>
      <c r="G145" t="str">
        <f>IF($E145="","",IFERROR(INDEX(Ansprechpartner!$C$4:$C$80,MATCH($E145,AP_Namen,0)),""))</f>
        <v/>
      </c>
    </row>
    <row r="146" spans="3:7" ht="15" customHeight="1">
      <c r="C146" t="str">
        <f t="shared" si="3"/>
        <v/>
      </c>
      <c r="F146" t="str">
        <f>IF($E146="","",IFERROR(INDEX(Ansprechpartner!$F$4:$F$80,MATCH($E146,AP_Namen,0)),""))</f>
        <v/>
      </c>
      <c r="G146" t="str">
        <f>IF($E146="","",IFERROR(INDEX(Ansprechpartner!$C$4:$C$80,MATCH($E146,AP_Namen,0)),""))</f>
        <v/>
      </c>
    </row>
    <row r="147" spans="3:7" ht="15" customHeight="1">
      <c r="C147" t="str">
        <f t="shared" si="3"/>
        <v/>
      </c>
      <c r="F147" t="str">
        <f>IF($E147="","",IFERROR(INDEX(Ansprechpartner!$F$4:$F$80,MATCH($E147,AP_Namen,0)),""))</f>
        <v/>
      </c>
      <c r="G147" t="str">
        <f>IF($E147="","",IFERROR(INDEX(Ansprechpartner!$C$4:$C$80,MATCH($E147,AP_Namen,0)),""))</f>
        <v/>
      </c>
    </row>
    <row r="148" spans="3:7" ht="15" customHeight="1">
      <c r="C148" t="str">
        <f t="shared" si="3"/>
        <v/>
      </c>
      <c r="F148" t="str">
        <f>IF($E148="","",IFERROR(INDEX(Ansprechpartner!$F$4:$F$80,MATCH($E148,AP_Namen,0)),""))</f>
        <v/>
      </c>
      <c r="G148" t="str">
        <f>IF($E148="","",IFERROR(INDEX(Ansprechpartner!$C$4:$C$80,MATCH($E148,AP_Namen,0)),""))</f>
        <v/>
      </c>
    </row>
    <row r="149" spans="3:7" ht="15" customHeight="1">
      <c r="C149" t="str">
        <f t="shared" si="3"/>
        <v/>
      </c>
      <c r="F149" t="str">
        <f>IF($E149="","",IFERROR(INDEX(Ansprechpartner!$F$4:$F$80,MATCH($E149,AP_Namen,0)),""))</f>
        <v/>
      </c>
      <c r="G149" t="str">
        <f>IF($E149="","",IFERROR(INDEX(Ansprechpartner!$C$4:$C$80,MATCH($E149,AP_Namen,0)),""))</f>
        <v/>
      </c>
    </row>
    <row r="150" spans="3:7" ht="15" customHeight="1">
      <c r="C150" t="str">
        <f t="shared" si="3"/>
        <v/>
      </c>
      <c r="F150" t="str">
        <f>IF($E150="","",IFERROR(INDEX(Ansprechpartner!$F$4:$F$80,MATCH($E150,AP_Namen,0)),""))</f>
        <v/>
      </c>
      <c r="G150" t="str">
        <f>IF($E150="","",IFERROR(INDEX(Ansprechpartner!$C$4:$C$80,MATCH($E150,AP_Namen,0)),""))</f>
        <v/>
      </c>
    </row>
    <row r="151" spans="3:7" ht="15" customHeight="1">
      <c r="C151" t="str">
        <f t="shared" si="3"/>
        <v/>
      </c>
      <c r="F151" t="str">
        <f>IF($E151="","",IFERROR(INDEX(Ansprechpartner!$F$4:$F$80,MATCH($E151,AP_Namen,0)),""))</f>
        <v/>
      </c>
      <c r="G151" t="str">
        <f>IF($E151="","",IFERROR(INDEX(Ansprechpartner!$C$4:$C$80,MATCH($E151,AP_Namen,0)),""))</f>
        <v/>
      </c>
    </row>
    <row r="152" spans="3:7" ht="15" customHeight="1">
      <c r="C152" t="str">
        <f t="shared" si="3"/>
        <v/>
      </c>
      <c r="F152" t="str">
        <f>IF($E152="","",IFERROR(INDEX(Ansprechpartner!$F$4:$F$80,MATCH($E152,AP_Namen,0)),""))</f>
        <v/>
      </c>
      <c r="G152" t="str">
        <f>IF($E152="","",IFERROR(INDEX(Ansprechpartner!$C$4:$C$80,MATCH($E152,AP_Namen,0)),""))</f>
        <v/>
      </c>
    </row>
    <row r="153" spans="3:7" ht="15" customHeight="1">
      <c r="C153" t="str">
        <f t="shared" si="3"/>
        <v/>
      </c>
      <c r="F153" t="str">
        <f>IF($E153="","",IFERROR(INDEX(Ansprechpartner!$F$4:$F$80,MATCH($E153,AP_Namen,0)),""))</f>
        <v/>
      </c>
      <c r="G153" t="str">
        <f>IF($E153="","",IFERROR(INDEX(Ansprechpartner!$C$4:$C$80,MATCH($E153,AP_Namen,0)),""))</f>
        <v/>
      </c>
    </row>
    <row r="154" spans="3:7" ht="15" customHeight="1">
      <c r="C154" t="str">
        <f t="shared" si="3"/>
        <v/>
      </c>
      <c r="F154" t="str">
        <f>IF($E154="","",IFERROR(INDEX(Ansprechpartner!$F$4:$F$80,MATCH($E154,AP_Namen,0)),""))</f>
        <v/>
      </c>
      <c r="G154" t="str">
        <f>IF($E154="","",IFERROR(INDEX(Ansprechpartner!$C$4:$C$80,MATCH($E154,AP_Namen,0)),""))</f>
        <v/>
      </c>
    </row>
    <row r="155" spans="3:7" ht="15" customHeight="1">
      <c r="C155" t="str">
        <f t="shared" si="3"/>
        <v/>
      </c>
      <c r="F155" t="str">
        <f>IF($E155="","",IFERROR(INDEX(Ansprechpartner!$F$4:$F$80,MATCH($E155,AP_Namen,0)),""))</f>
        <v/>
      </c>
      <c r="G155" t="str">
        <f>IF($E155="","",IFERROR(INDEX(Ansprechpartner!$C$4:$C$80,MATCH($E155,AP_Namen,0)),""))</f>
        <v/>
      </c>
    </row>
    <row r="156" spans="3:7" ht="15" customHeight="1">
      <c r="C156" t="str">
        <f t="shared" si="3"/>
        <v/>
      </c>
      <c r="F156" t="str">
        <f>IF($E156="","",IFERROR(INDEX(Ansprechpartner!$F$4:$F$80,MATCH($E156,AP_Namen,0)),""))</f>
        <v/>
      </c>
      <c r="G156" t="str">
        <f>IF($E156="","",IFERROR(INDEX(Ansprechpartner!$C$4:$C$80,MATCH($E156,AP_Namen,0)),""))</f>
        <v/>
      </c>
    </row>
    <row r="157" spans="3:7" ht="15" customHeight="1">
      <c r="C157" t="str">
        <f t="shared" si="3"/>
        <v/>
      </c>
      <c r="F157" t="str">
        <f>IF($E157="","",IFERROR(INDEX(Ansprechpartner!$F$4:$F$80,MATCH($E157,AP_Namen,0)),""))</f>
        <v/>
      </c>
      <c r="G157" t="str">
        <f>IF($E157="","",IFERROR(INDEX(Ansprechpartner!$C$4:$C$80,MATCH($E157,AP_Namen,0)),""))</f>
        <v/>
      </c>
    </row>
    <row r="158" spans="3:7" ht="15" customHeight="1">
      <c r="C158" t="str">
        <f t="shared" si="3"/>
        <v/>
      </c>
      <c r="F158" t="str">
        <f>IF($E158="","",IFERROR(INDEX(Ansprechpartner!$F$4:$F$80,MATCH($E158,AP_Namen,0)),""))</f>
        <v/>
      </c>
      <c r="G158" t="str">
        <f>IF($E158="","",IFERROR(INDEX(Ansprechpartner!$C$4:$C$80,MATCH($E158,AP_Namen,0)),""))</f>
        <v/>
      </c>
    </row>
    <row r="159" spans="3:7" ht="15" customHeight="1">
      <c r="C159" t="str">
        <f t="shared" si="3"/>
        <v/>
      </c>
      <c r="F159" t="str">
        <f>IF($E159="","",IFERROR(INDEX(Ansprechpartner!$F$4:$F$80,MATCH($E159,AP_Namen,0)),""))</f>
        <v/>
      </c>
      <c r="G159" t="str">
        <f>IF($E159="","",IFERROR(INDEX(Ansprechpartner!$C$4:$C$80,MATCH($E159,AP_Namen,0)),""))</f>
        <v/>
      </c>
    </row>
    <row r="160" spans="3:7" ht="15" customHeight="1">
      <c r="C160" t="str">
        <f t="shared" si="3"/>
        <v/>
      </c>
      <c r="F160" t="str">
        <f>IF($E160="","",IFERROR(INDEX(Ansprechpartner!$F$4:$F$80,MATCH($E160,AP_Namen,0)),""))</f>
        <v/>
      </c>
      <c r="G160" t="str">
        <f>IF($E160="","",IFERROR(INDEX(Ansprechpartner!$C$4:$C$80,MATCH($E160,AP_Namen,0)),""))</f>
        <v/>
      </c>
    </row>
    <row r="161" spans="3:7" ht="15" customHeight="1">
      <c r="C161" t="str">
        <f t="shared" si="3"/>
        <v/>
      </c>
      <c r="F161" t="str">
        <f>IF($E161="","",IFERROR(INDEX(Ansprechpartner!$F$4:$F$80,MATCH($E161,AP_Namen,0)),""))</f>
        <v/>
      </c>
      <c r="G161" t="str">
        <f>IF($E161="","",IFERROR(INDEX(Ansprechpartner!$C$4:$C$80,MATCH($E161,AP_Namen,0)),""))</f>
        <v/>
      </c>
    </row>
    <row r="162" spans="3:7" ht="15" customHeight="1">
      <c r="C162" t="str">
        <f t="shared" si="3"/>
        <v/>
      </c>
      <c r="F162" t="str">
        <f>IF($E162="","",IFERROR(INDEX(Ansprechpartner!$F$4:$F$80,MATCH($E162,AP_Namen,0)),""))</f>
        <v/>
      </c>
      <c r="G162" t="str">
        <f>IF($E162="","",IFERROR(INDEX(Ansprechpartner!$C$4:$C$80,MATCH($E162,AP_Namen,0)),""))</f>
        <v/>
      </c>
    </row>
    <row r="163" spans="3:7" ht="15" customHeight="1">
      <c r="C163" t="str">
        <f t="shared" si="3"/>
        <v/>
      </c>
      <c r="F163" t="str">
        <f>IF($E163="","",IFERROR(INDEX(Ansprechpartner!$F$4:$F$80,MATCH($E163,AP_Namen,0)),""))</f>
        <v/>
      </c>
      <c r="G163" t="str">
        <f>IF($E163="","",IFERROR(INDEX(Ansprechpartner!$C$4:$C$80,MATCH($E163,AP_Namen,0)),""))</f>
        <v/>
      </c>
    </row>
    <row r="164" spans="3:7" ht="15" customHeight="1">
      <c r="C164" t="str">
        <f t="shared" si="3"/>
        <v/>
      </c>
      <c r="F164" t="str">
        <f>IF($E164="","",IFERROR(INDEX(Ansprechpartner!$F$4:$F$80,MATCH($E164,AP_Namen,0)),""))</f>
        <v/>
      </c>
      <c r="G164" t="str">
        <f>IF($E164="","",IFERROR(INDEX(Ansprechpartner!$C$4:$C$80,MATCH($E164,AP_Namen,0)),""))</f>
        <v/>
      </c>
    </row>
    <row r="165" spans="3:7" ht="15" customHeight="1">
      <c r="C165" t="str">
        <f t="shared" si="3"/>
        <v/>
      </c>
      <c r="F165" t="str">
        <f>IF($E165="","",IFERROR(INDEX(Ansprechpartner!$F$4:$F$80,MATCH($E165,AP_Namen,0)),""))</f>
        <v/>
      </c>
      <c r="G165" t="str">
        <f>IF($E165="","",IFERROR(INDEX(Ansprechpartner!$C$4:$C$80,MATCH($E165,AP_Namen,0)),""))</f>
        <v/>
      </c>
    </row>
    <row r="166" spans="3:7" ht="15" customHeight="1">
      <c r="C166" t="str">
        <f t="shared" si="3"/>
        <v/>
      </c>
      <c r="F166" t="str">
        <f>IF($E166="","",IFERROR(INDEX(Ansprechpartner!$F$4:$F$80,MATCH($E166,AP_Namen,0)),""))</f>
        <v/>
      </c>
      <c r="G166" t="str">
        <f>IF($E166="","",IFERROR(INDEX(Ansprechpartner!$C$4:$C$80,MATCH($E166,AP_Namen,0)),""))</f>
        <v/>
      </c>
    </row>
    <row r="167" spans="3:7" ht="15" customHeight="1">
      <c r="C167" t="str">
        <f t="shared" si="3"/>
        <v/>
      </c>
      <c r="F167" t="str">
        <f>IF($E167="","",IFERROR(INDEX(Ansprechpartner!$F$4:$F$80,MATCH($E167,AP_Namen,0)),""))</f>
        <v/>
      </c>
      <c r="G167" t="str">
        <f>IF($E167="","",IFERROR(INDEX(Ansprechpartner!$C$4:$C$80,MATCH($E167,AP_Namen,0)),""))</f>
        <v/>
      </c>
    </row>
    <row r="168" spans="3:7" ht="15" customHeight="1">
      <c r="C168" t="str">
        <f t="shared" si="3"/>
        <v/>
      </c>
      <c r="F168" t="str">
        <f>IF($E168="","",IFERROR(INDEX(Ansprechpartner!$F$4:$F$80,MATCH($E168,AP_Namen,0)),""))</f>
        <v/>
      </c>
      <c r="G168" t="str">
        <f>IF($E168="","",IFERROR(INDEX(Ansprechpartner!$C$4:$C$80,MATCH($E168,AP_Namen,0)),""))</f>
        <v/>
      </c>
    </row>
    <row r="169" spans="3:7" ht="15" customHeight="1">
      <c r="C169" t="str">
        <f t="shared" si="3"/>
        <v/>
      </c>
      <c r="F169" t="str">
        <f>IF($E169="","",IFERROR(INDEX(Ansprechpartner!$F$4:$F$80,MATCH($E169,AP_Namen,0)),""))</f>
        <v/>
      </c>
      <c r="G169" t="str">
        <f>IF($E169="","",IFERROR(INDEX(Ansprechpartner!$C$4:$C$80,MATCH($E169,AP_Namen,0)),""))</f>
        <v/>
      </c>
    </row>
    <row r="170" spans="3:7" ht="15" customHeight="1">
      <c r="C170" t="str">
        <f t="shared" si="3"/>
        <v/>
      </c>
      <c r="F170" t="str">
        <f>IF($E170="","",IFERROR(INDEX(Ansprechpartner!$F$4:$F$80,MATCH($E170,AP_Namen,0)),""))</f>
        <v/>
      </c>
      <c r="G170" t="str">
        <f>IF($E170="","",IFERROR(INDEX(Ansprechpartner!$C$4:$C$80,MATCH($E170,AP_Namen,0)),""))</f>
        <v/>
      </c>
    </row>
    <row r="171" spans="3:7" ht="15" customHeight="1">
      <c r="C171" t="str">
        <f t="shared" si="3"/>
        <v/>
      </c>
      <c r="F171" t="str">
        <f>IF($E171="","",IFERROR(INDEX(Ansprechpartner!$F$4:$F$80,MATCH($E171,AP_Namen,0)),""))</f>
        <v/>
      </c>
      <c r="G171" t="str">
        <f>IF($E171="","",IFERROR(INDEX(Ansprechpartner!$C$4:$C$80,MATCH($E171,AP_Namen,0)),""))</f>
        <v/>
      </c>
    </row>
    <row r="172" spans="3:7" ht="15" customHeight="1">
      <c r="C172" t="str">
        <f t="shared" si="3"/>
        <v/>
      </c>
      <c r="F172" t="str">
        <f>IF($E172="","",IFERROR(INDEX(Ansprechpartner!$F$4:$F$80,MATCH($E172,AP_Namen,0)),""))</f>
        <v/>
      </c>
      <c r="G172" t="str">
        <f>IF($E172="","",IFERROR(INDEX(Ansprechpartner!$C$4:$C$80,MATCH($E172,AP_Namen,0)),""))</f>
        <v/>
      </c>
    </row>
    <row r="173" spans="3:7" ht="15" customHeight="1">
      <c r="C173" t="str">
        <f t="shared" si="3"/>
        <v/>
      </c>
      <c r="F173" t="str">
        <f>IF($E173="","",IFERROR(INDEX(Ansprechpartner!$F$4:$F$80,MATCH($E173,AP_Namen,0)),""))</f>
        <v/>
      </c>
      <c r="G173" t="str">
        <f>IF($E173="","",IFERROR(INDEX(Ansprechpartner!$C$4:$C$80,MATCH($E173,AP_Namen,0)),""))</f>
        <v/>
      </c>
    </row>
    <row r="174" spans="3:7" ht="15" customHeight="1">
      <c r="C174" t="str">
        <f t="shared" si="3"/>
        <v/>
      </c>
      <c r="F174" t="str">
        <f>IF($E174="","",IFERROR(INDEX(Ansprechpartner!$F$4:$F$80,MATCH($E174,AP_Namen,0)),""))</f>
        <v/>
      </c>
      <c r="G174" t="str">
        <f>IF($E174="","",IFERROR(INDEX(Ansprechpartner!$C$4:$C$80,MATCH($E174,AP_Namen,0)),""))</f>
        <v/>
      </c>
    </row>
    <row r="175" spans="3:7" ht="15" customHeight="1">
      <c r="C175" t="str">
        <f t="shared" si="3"/>
        <v/>
      </c>
      <c r="F175" t="str">
        <f>IF($E175="","",IFERROR(INDEX(Ansprechpartner!$F$4:$F$80,MATCH($E175,AP_Namen,0)),""))</f>
        <v/>
      </c>
      <c r="G175" t="str">
        <f>IF($E175="","",IFERROR(INDEX(Ansprechpartner!$C$4:$C$80,MATCH($E175,AP_Namen,0)),""))</f>
        <v/>
      </c>
    </row>
    <row r="176" spans="3:7" ht="15" customHeight="1">
      <c r="C176" t="str">
        <f t="shared" si="3"/>
        <v/>
      </c>
      <c r="F176" t="str">
        <f>IF($E176="","",IFERROR(INDEX(Ansprechpartner!$F$4:$F$80,MATCH($E176,AP_Namen,0)),""))</f>
        <v/>
      </c>
      <c r="G176" t="str">
        <f>IF($E176="","",IFERROR(INDEX(Ansprechpartner!$C$4:$C$80,MATCH($E176,AP_Namen,0)),""))</f>
        <v/>
      </c>
    </row>
    <row r="177" spans="3:7" ht="15" customHeight="1">
      <c r="C177" t="str">
        <f t="shared" si="3"/>
        <v/>
      </c>
      <c r="F177" t="str">
        <f>IF($E177="","",IFERROR(INDEX(Ansprechpartner!$F$4:$F$80,MATCH($E177,AP_Namen,0)),""))</f>
        <v/>
      </c>
      <c r="G177" t="str">
        <f>IF($E177="","",IFERROR(INDEX(Ansprechpartner!$C$4:$C$80,MATCH($E177,AP_Namen,0)),""))</f>
        <v/>
      </c>
    </row>
    <row r="178" spans="3:7" ht="15" customHeight="1">
      <c r="C178" t="str">
        <f t="shared" si="3"/>
        <v/>
      </c>
      <c r="F178" t="str">
        <f>IF($E178="","",IFERROR(INDEX(Ansprechpartner!$F$4:$F$80,MATCH($E178,AP_Namen,0)),""))</f>
        <v/>
      </c>
      <c r="G178" t="str">
        <f>IF($E178="","",IFERROR(INDEX(Ansprechpartner!$C$4:$C$80,MATCH($E178,AP_Namen,0)),""))</f>
        <v/>
      </c>
    </row>
    <row r="179" spans="3:7" ht="15" customHeight="1">
      <c r="C179" t="str">
        <f t="shared" si="3"/>
        <v/>
      </c>
      <c r="F179" t="str">
        <f>IF($E179="","",IFERROR(INDEX(Ansprechpartner!$F$4:$F$80,MATCH($E179,AP_Namen,0)),""))</f>
        <v/>
      </c>
      <c r="G179" t="str">
        <f>IF($E179="","",IFERROR(INDEX(Ansprechpartner!$C$4:$C$80,MATCH($E179,AP_Namen,0)),""))</f>
        <v/>
      </c>
    </row>
    <row r="180" spans="3:7" ht="15" customHeight="1">
      <c r="C180" t="str">
        <f t="shared" si="3"/>
        <v/>
      </c>
      <c r="F180" t="str">
        <f>IF($E180="","",IFERROR(INDEX(Ansprechpartner!$F$4:$F$80,MATCH($E180,AP_Namen,0)),""))</f>
        <v/>
      </c>
      <c r="G180" t="str">
        <f>IF($E180="","",IFERROR(INDEX(Ansprechpartner!$C$4:$C$80,MATCH($E180,AP_Namen,0)),""))</f>
        <v/>
      </c>
    </row>
    <row r="181" spans="3:7" ht="15" customHeight="1">
      <c r="C181" t="str">
        <f t="shared" si="3"/>
        <v/>
      </c>
      <c r="F181" t="str">
        <f>IF($E181="","",IFERROR(INDEX(Ansprechpartner!$F$4:$F$80,MATCH($E181,AP_Namen,0)),""))</f>
        <v/>
      </c>
      <c r="G181" t="str">
        <f>IF($E181="","",IFERROR(INDEX(Ansprechpartner!$C$4:$C$80,MATCH($E181,AP_Namen,0)),""))</f>
        <v/>
      </c>
    </row>
    <row r="182" spans="3:7" ht="15" customHeight="1">
      <c r="C182" t="str">
        <f t="shared" si="3"/>
        <v/>
      </c>
      <c r="F182" t="str">
        <f>IF($E182="","",IFERROR(INDEX(Ansprechpartner!$F$4:$F$80,MATCH($E182,AP_Namen,0)),""))</f>
        <v/>
      </c>
      <c r="G182" t="str">
        <f>IF($E182="","",IFERROR(INDEX(Ansprechpartner!$C$4:$C$80,MATCH($E182,AP_Namen,0)),""))</f>
        <v/>
      </c>
    </row>
    <row r="183" spans="3:7" ht="15" customHeight="1">
      <c r="C183" t="str">
        <f t="shared" si="3"/>
        <v/>
      </c>
      <c r="F183" t="str">
        <f>IF($E183="","",IFERROR(INDEX(Ansprechpartner!$F$4:$F$80,MATCH($E183,AP_Namen,0)),""))</f>
        <v/>
      </c>
      <c r="G183" t="str">
        <f>IF($E183="","",IFERROR(INDEX(Ansprechpartner!$C$4:$C$80,MATCH($E183,AP_Namen,0)),""))</f>
        <v/>
      </c>
    </row>
    <row r="184" spans="3:7" ht="15" customHeight="1">
      <c r="C184" t="str">
        <f t="shared" si="3"/>
        <v/>
      </c>
      <c r="F184" t="str">
        <f>IF($E184="","",IFERROR(INDEX(Ansprechpartner!$F$4:$F$80,MATCH($E184,AP_Namen,0)),""))</f>
        <v/>
      </c>
      <c r="G184" t="str">
        <f>IF($E184="","",IFERROR(INDEX(Ansprechpartner!$C$4:$C$80,MATCH($E184,AP_Namen,0)),""))</f>
        <v/>
      </c>
    </row>
    <row r="185" spans="3:7" ht="15" customHeight="1">
      <c r="C185" t="str">
        <f t="shared" si="3"/>
        <v/>
      </c>
      <c r="F185" t="str">
        <f>IF($E185="","",IFERROR(INDEX(Ansprechpartner!$F$4:$F$80,MATCH($E185,AP_Namen,0)),""))</f>
        <v/>
      </c>
      <c r="G185" t="str">
        <f>IF($E185="","",IFERROR(INDEX(Ansprechpartner!$C$4:$C$80,MATCH($E185,AP_Namen,0)),""))</f>
        <v/>
      </c>
    </row>
    <row r="186" spans="3:7" ht="15" customHeight="1">
      <c r="C186" t="str">
        <f t="shared" si="3"/>
        <v/>
      </c>
      <c r="F186" t="str">
        <f>IF($E186="","",IFERROR(INDEX(Ansprechpartner!$F$4:$F$80,MATCH($E186,AP_Namen,0)),""))</f>
        <v/>
      </c>
      <c r="G186" t="str">
        <f>IF($E186="","",IFERROR(INDEX(Ansprechpartner!$C$4:$C$80,MATCH($E186,AP_Namen,0)),""))</f>
        <v/>
      </c>
    </row>
    <row r="187" spans="3:7" ht="15" customHeight="1">
      <c r="C187" t="str">
        <f t="shared" si="3"/>
        <v/>
      </c>
      <c r="F187" t="str">
        <f>IF($E187="","",IFERROR(INDEX(Ansprechpartner!$F$4:$F$80,MATCH($E187,AP_Namen,0)),""))</f>
        <v/>
      </c>
      <c r="G187" t="str">
        <f>IF($E187="","",IFERROR(INDEX(Ansprechpartner!$C$4:$C$80,MATCH($E187,AP_Namen,0)),""))</f>
        <v/>
      </c>
    </row>
    <row r="188" spans="3:7" ht="15" customHeight="1">
      <c r="C188" t="str">
        <f t="shared" si="3"/>
        <v/>
      </c>
      <c r="F188" t="str">
        <f>IF($E188="","",IFERROR(INDEX(Ansprechpartner!$F$4:$F$80,MATCH($E188,AP_Namen,0)),""))</f>
        <v/>
      </c>
      <c r="G188" t="str">
        <f>IF($E188="","",IFERROR(INDEX(Ansprechpartner!$C$4:$C$80,MATCH($E188,AP_Namen,0)),""))</f>
        <v/>
      </c>
    </row>
    <row r="189" spans="3:7" ht="15" customHeight="1">
      <c r="C189" t="str">
        <f t="shared" si="3"/>
        <v/>
      </c>
      <c r="F189" t="str">
        <f>IF($E189="","",IFERROR(INDEX(Ansprechpartner!$F$4:$F$80,MATCH($E189,AP_Namen,0)),""))</f>
        <v/>
      </c>
      <c r="G189" t="str">
        <f>IF($E189="","",IFERROR(INDEX(Ansprechpartner!$C$4:$C$80,MATCH($E189,AP_Namen,0)),""))</f>
        <v/>
      </c>
    </row>
    <row r="190" spans="3:7" ht="15" customHeight="1">
      <c r="C190" t="str">
        <f t="shared" si="3"/>
        <v/>
      </c>
      <c r="F190" t="str">
        <f>IF($E190="","",IFERROR(INDEX(Ansprechpartner!$F$4:$F$80,MATCH($E190,AP_Namen,0)),""))</f>
        <v/>
      </c>
      <c r="G190" t="str">
        <f>IF($E190="","",IFERROR(INDEX(Ansprechpartner!$C$4:$C$80,MATCH($E190,AP_Namen,0)),""))</f>
        <v/>
      </c>
    </row>
    <row r="191" spans="3:7" ht="15" customHeight="1">
      <c r="C191" t="str">
        <f t="shared" si="3"/>
        <v/>
      </c>
      <c r="F191" t="str">
        <f>IF($E191="","",IFERROR(INDEX(Ansprechpartner!$F$4:$F$80,MATCH($E191,AP_Namen,0)),""))</f>
        <v/>
      </c>
      <c r="G191" t="str">
        <f>IF($E191="","",IFERROR(INDEX(Ansprechpartner!$C$4:$C$80,MATCH($E191,AP_Namen,0)),""))</f>
        <v/>
      </c>
    </row>
    <row r="192" spans="3:7" ht="15" customHeight="1">
      <c r="C192" t="str">
        <f t="shared" si="3"/>
        <v/>
      </c>
      <c r="F192" t="str">
        <f>IF($E192="","",IFERROR(INDEX(Ansprechpartner!$F$4:$F$80,MATCH($E192,AP_Namen,0)),""))</f>
        <v/>
      </c>
      <c r="G192" t="str">
        <f>IF($E192="","",IFERROR(INDEX(Ansprechpartner!$C$4:$C$80,MATCH($E192,AP_Namen,0)),""))</f>
        <v/>
      </c>
    </row>
    <row r="193" spans="3:7" ht="15" customHeight="1">
      <c r="C193" t="str">
        <f t="shared" si="3"/>
        <v/>
      </c>
      <c r="F193" t="str">
        <f>IF($E193="","",IFERROR(INDEX(Ansprechpartner!$F$4:$F$80,MATCH($E193,AP_Namen,0)),""))</f>
        <v/>
      </c>
      <c r="G193" t="str">
        <f>IF($E193="","",IFERROR(INDEX(Ansprechpartner!$C$4:$C$80,MATCH($E193,AP_Namen,0)),""))</f>
        <v/>
      </c>
    </row>
    <row r="194" spans="3:7" ht="15" customHeight="1">
      <c r="C194" t="str">
        <f t="shared" si="3"/>
        <v/>
      </c>
      <c r="F194" t="str">
        <f>IF($E194="","",IFERROR(INDEX(Ansprechpartner!$F$4:$F$80,MATCH($E194,AP_Namen,0)),""))</f>
        <v/>
      </c>
      <c r="G194" t="str">
        <f>IF($E194="","",IFERROR(INDEX(Ansprechpartner!$C$4:$C$80,MATCH($E194,AP_Namen,0)),""))</f>
        <v/>
      </c>
    </row>
    <row r="195" spans="3:7" ht="15" customHeight="1">
      <c r="C195" t="str">
        <f t="shared" si="3"/>
        <v/>
      </c>
      <c r="F195" t="str">
        <f>IF($E195="","",IFERROR(INDEX(Ansprechpartner!$F$4:$F$80,MATCH($E195,AP_Namen,0)),""))</f>
        <v/>
      </c>
      <c r="G195" t="str">
        <f>IF($E195="","",IFERROR(INDEX(Ansprechpartner!$C$4:$C$80,MATCH($E195,AP_Namen,0)),""))</f>
        <v/>
      </c>
    </row>
    <row r="196" spans="3:7" ht="15" customHeight="1">
      <c r="C196" t="str">
        <f t="shared" si="3"/>
        <v/>
      </c>
      <c r="F196" t="str">
        <f>IF($E196="","",IFERROR(INDEX(Ansprechpartner!$F$4:$F$80,MATCH($E196,AP_Namen,0)),""))</f>
        <v/>
      </c>
      <c r="G196" t="str">
        <f>IF($E196="","",IFERROR(INDEX(Ansprechpartner!$C$4:$C$80,MATCH($E196,AP_Namen,0)),""))</f>
        <v/>
      </c>
    </row>
    <row r="197" spans="3:7" ht="15" customHeight="1">
      <c r="C197" t="str">
        <f t="shared" si="3"/>
        <v/>
      </c>
      <c r="F197" t="str">
        <f>IF($E197="","",IFERROR(INDEX(Ansprechpartner!$F$4:$F$80,MATCH($E197,AP_Namen,0)),""))</f>
        <v/>
      </c>
      <c r="G197" t="str">
        <f>IF($E197="","",IFERROR(INDEX(Ansprechpartner!$C$4:$C$80,MATCH($E197,AP_Namen,0)),""))</f>
        <v/>
      </c>
    </row>
    <row r="198" spans="3:7" ht="15" customHeight="1">
      <c r="C198" t="str">
        <f t="shared" si="3"/>
        <v/>
      </c>
      <c r="F198" t="str">
        <f>IF($E198="","",IFERROR(INDEX(Ansprechpartner!$F$4:$F$80,MATCH($E198,AP_Namen,0)),""))</f>
        <v/>
      </c>
      <c r="G198" t="str">
        <f>IF($E198="","",IFERROR(INDEX(Ansprechpartner!$C$4:$C$80,MATCH($E198,AP_Namen,0)),""))</f>
        <v/>
      </c>
    </row>
    <row r="199" spans="3:7" ht="15" customHeight="1">
      <c r="C199" t="str">
        <f t="shared" si="3"/>
        <v/>
      </c>
      <c r="F199" t="str">
        <f>IF($E199="","",IFERROR(INDEX(Ansprechpartner!$F$4:$F$80,MATCH($E199,AP_Namen,0)),""))</f>
        <v/>
      </c>
      <c r="G199" t="str">
        <f>IF($E199="","",IFERROR(INDEX(Ansprechpartner!$C$4:$C$80,MATCH($E199,AP_Namen,0)),""))</f>
        <v/>
      </c>
    </row>
    <row r="200" spans="3:7" ht="15" customHeight="1">
      <c r="C200" t="str">
        <f t="shared" si="3"/>
        <v/>
      </c>
      <c r="F200" t="str">
        <f>IF($E200="","",IFERROR(INDEX(Ansprechpartner!$F$4:$F$80,MATCH($E200,AP_Namen,0)),""))</f>
        <v/>
      </c>
      <c r="G200" t="str">
        <f>IF($E200="","",IFERROR(INDEX(Ansprechpartner!$C$4:$C$80,MATCH($E200,AP_Namen,0)),""))</f>
        <v/>
      </c>
    </row>
    <row r="201" spans="3:7" ht="15" customHeight="1">
      <c r="C201" t="str">
        <f t="shared" si="3"/>
        <v/>
      </c>
      <c r="F201" t="str">
        <f>IF($E201="","",IFERROR(INDEX(Ansprechpartner!$F$4:$F$80,MATCH($E201,AP_Namen,0)),""))</f>
        <v/>
      </c>
      <c r="G201" t="str">
        <f>IF($E201="","",IFERROR(INDEX(Ansprechpartner!$C$4:$C$80,MATCH($E201,AP_Namen,0)),""))</f>
        <v/>
      </c>
    </row>
    <row r="202" spans="3:7" ht="15" customHeight="1">
      <c r="C202" t="str">
        <f t="shared" ref="C202:C265" si="4">IF(B202="","",CHOOSE(WEEKDAY(B202,2),"Montag","Dienstag","Mittwoch","Donnerstag","Freitag","Samstag","Sonntag"))</f>
        <v/>
      </c>
      <c r="F202" t="str">
        <f>IF($E202="","",IFERROR(INDEX(Ansprechpartner!$F$4:$F$80,MATCH($E202,AP_Namen,0)),""))</f>
        <v/>
      </c>
      <c r="G202" t="str">
        <f>IF($E202="","",IFERROR(INDEX(Ansprechpartner!$C$4:$C$80,MATCH($E202,AP_Namen,0)),""))</f>
        <v/>
      </c>
    </row>
    <row r="203" spans="3:7" ht="15" customHeight="1">
      <c r="C203" t="str">
        <f t="shared" si="4"/>
        <v/>
      </c>
      <c r="F203" t="str">
        <f>IF($E203="","",IFERROR(INDEX(Ansprechpartner!$F$4:$F$80,MATCH($E203,AP_Namen,0)),""))</f>
        <v/>
      </c>
      <c r="G203" t="str">
        <f>IF($E203="","",IFERROR(INDEX(Ansprechpartner!$C$4:$C$80,MATCH($E203,AP_Namen,0)),""))</f>
        <v/>
      </c>
    </row>
    <row r="204" spans="3:7" ht="15" customHeight="1">
      <c r="C204" t="str">
        <f t="shared" si="4"/>
        <v/>
      </c>
      <c r="F204" t="str">
        <f>IF($E204="","",IFERROR(INDEX(Ansprechpartner!$F$4:$F$80,MATCH($E204,AP_Namen,0)),""))</f>
        <v/>
      </c>
      <c r="G204" t="str">
        <f>IF($E204="","",IFERROR(INDEX(Ansprechpartner!$C$4:$C$80,MATCH($E204,AP_Namen,0)),""))</f>
        <v/>
      </c>
    </row>
    <row r="205" spans="3:7" ht="15" customHeight="1">
      <c r="C205" t="str">
        <f t="shared" si="4"/>
        <v/>
      </c>
      <c r="F205" t="str">
        <f>IF($E205="","",IFERROR(INDEX(Ansprechpartner!$F$4:$F$80,MATCH($E205,AP_Namen,0)),""))</f>
        <v/>
      </c>
      <c r="G205" t="str">
        <f>IF($E205="","",IFERROR(INDEX(Ansprechpartner!$C$4:$C$80,MATCH($E205,AP_Namen,0)),""))</f>
        <v/>
      </c>
    </row>
    <row r="206" spans="3:7" ht="15" customHeight="1">
      <c r="C206" t="str">
        <f t="shared" si="4"/>
        <v/>
      </c>
      <c r="F206" t="str">
        <f>IF($E206="","",IFERROR(INDEX(Ansprechpartner!$F$4:$F$80,MATCH($E206,AP_Namen,0)),""))</f>
        <v/>
      </c>
      <c r="G206" t="str">
        <f>IF($E206="","",IFERROR(INDEX(Ansprechpartner!$C$4:$C$80,MATCH($E206,AP_Namen,0)),""))</f>
        <v/>
      </c>
    </row>
    <row r="207" spans="3:7" ht="15" customHeight="1">
      <c r="C207" t="str">
        <f t="shared" si="4"/>
        <v/>
      </c>
      <c r="F207" t="str">
        <f>IF($E207="","",IFERROR(INDEX(Ansprechpartner!$F$4:$F$80,MATCH($E207,AP_Namen,0)),""))</f>
        <v/>
      </c>
      <c r="G207" t="str">
        <f>IF($E207="","",IFERROR(INDEX(Ansprechpartner!$C$4:$C$80,MATCH($E207,AP_Namen,0)),""))</f>
        <v/>
      </c>
    </row>
    <row r="208" spans="3:7" ht="15" customHeight="1">
      <c r="C208" t="str">
        <f t="shared" si="4"/>
        <v/>
      </c>
      <c r="F208" t="str">
        <f>IF($E208="","",IFERROR(INDEX(Ansprechpartner!$F$4:$F$80,MATCH($E208,AP_Namen,0)),""))</f>
        <v/>
      </c>
      <c r="G208" t="str">
        <f>IF($E208="","",IFERROR(INDEX(Ansprechpartner!$C$4:$C$80,MATCH($E208,AP_Namen,0)),""))</f>
        <v/>
      </c>
    </row>
    <row r="209" spans="3:7" ht="15" customHeight="1">
      <c r="C209" t="str">
        <f t="shared" si="4"/>
        <v/>
      </c>
      <c r="F209" t="str">
        <f>IF($E209="","",IFERROR(INDEX(Ansprechpartner!$F$4:$F$80,MATCH($E209,AP_Namen,0)),""))</f>
        <v/>
      </c>
      <c r="G209" t="str">
        <f>IF($E209="","",IFERROR(INDEX(Ansprechpartner!$C$4:$C$80,MATCH($E209,AP_Namen,0)),""))</f>
        <v/>
      </c>
    </row>
    <row r="210" spans="3:7" ht="15" customHeight="1">
      <c r="C210" t="str">
        <f t="shared" si="4"/>
        <v/>
      </c>
      <c r="F210" t="str">
        <f>IF($E210="","",IFERROR(INDEX(Ansprechpartner!$F$4:$F$80,MATCH($E210,AP_Namen,0)),""))</f>
        <v/>
      </c>
      <c r="G210" t="str">
        <f>IF($E210="","",IFERROR(INDEX(Ansprechpartner!$C$4:$C$80,MATCH($E210,AP_Namen,0)),""))</f>
        <v/>
      </c>
    </row>
    <row r="211" spans="3:7" ht="15" customHeight="1">
      <c r="C211" t="str">
        <f t="shared" si="4"/>
        <v/>
      </c>
      <c r="F211" t="str">
        <f>IF($E211="","",IFERROR(INDEX(Ansprechpartner!$F$4:$F$80,MATCH($E211,AP_Namen,0)),""))</f>
        <v/>
      </c>
      <c r="G211" t="str">
        <f>IF($E211="","",IFERROR(INDEX(Ansprechpartner!$C$4:$C$80,MATCH($E211,AP_Namen,0)),""))</f>
        <v/>
      </c>
    </row>
    <row r="212" spans="3:7" ht="15" customHeight="1">
      <c r="C212" t="str">
        <f t="shared" si="4"/>
        <v/>
      </c>
      <c r="F212" t="str">
        <f>IF($E212="","",IFERROR(INDEX(Ansprechpartner!$F$4:$F$80,MATCH($E212,AP_Namen,0)),""))</f>
        <v/>
      </c>
      <c r="G212" t="str">
        <f>IF($E212="","",IFERROR(INDEX(Ansprechpartner!$C$4:$C$80,MATCH($E212,AP_Namen,0)),""))</f>
        <v/>
      </c>
    </row>
    <row r="213" spans="3:7" ht="15" customHeight="1">
      <c r="C213" t="str">
        <f t="shared" si="4"/>
        <v/>
      </c>
      <c r="F213" t="str">
        <f>IF($E213="","",IFERROR(INDEX(Ansprechpartner!$F$4:$F$80,MATCH($E213,AP_Namen,0)),""))</f>
        <v/>
      </c>
      <c r="G213" t="str">
        <f>IF($E213="","",IFERROR(INDEX(Ansprechpartner!$C$4:$C$80,MATCH($E213,AP_Namen,0)),""))</f>
        <v/>
      </c>
    </row>
    <row r="214" spans="3:7" ht="15" customHeight="1">
      <c r="C214" t="str">
        <f t="shared" si="4"/>
        <v/>
      </c>
      <c r="F214" t="str">
        <f>IF($E214="","",IFERROR(INDEX(Ansprechpartner!$F$4:$F$80,MATCH($E214,AP_Namen,0)),""))</f>
        <v/>
      </c>
      <c r="G214" t="str">
        <f>IF($E214="","",IFERROR(INDEX(Ansprechpartner!$C$4:$C$80,MATCH($E214,AP_Namen,0)),""))</f>
        <v/>
      </c>
    </row>
    <row r="215" spans="3:7" ht="15" customHeight="1">
      <c r="C215" t="str">
        <f t="shared" si="4"/>
        <v/>
      </c>
      <c r="F215" t="str">
        <f>IF($E215="","",IFERROR(INDEX(Ansprechpartner!$F$4:$F$80,MATCH($E215,AP_Namen,0)),""))</f>
        <v/>
      </c>
      <c r="G215" t="str">
        <f>IF($E215="","",IFERROR(INDEX(Ansprechpartner!$C$4:$C$80,MATCH($E215,AP_Namen,0)),""))</f>
        <v/>
      </c>
    </row>
    <row r="216" spans="3:7" ht="15" customHeight="1">
      <c r="C216" t="str">
        <f t="shared" si="4"/>
        <v/>
      </c>
      <c r="F216" t="str">
        <f>IF($E216="","",IFERROR(INDEX(Ansprechpartner!$F$4:$F$80,MATCH($E216,AP_Namen,0)),""))</f>
        <v/>
      </c>
      <c r="G216" t="str">
        <f>IF($E216="","",IFERROR(INDEX(Ansprechpartner!$C$4:$C$80,MATCH($E216,AP_Namen,0)),""))</f>
        <v/>
      </c>
    </row>
    <row r="217" spans="3:7" ht="15" customHeight="1">
      <c r="C217" t="str">
        <f t="shared" si="4"/>
        <v/>
      </c>
      <c r="F217" t="str">
        <f>IF($E217="","",IFERROR(INDEX(Ansprechpartner!$F$4:$F$80,MATCH($E217,AP_Namen,0)),""))</f>
        <v/>
      </c>
      <c r="G217" t="str">
        <f>IF($E217="","",IFERROR(INDEX(Ansprechpartner!$C$4:$C$80,MATCH($E217,AP_Namen,0)),""))</f>
        <v/>
      </c>
    </row>
    <row r="218" spans="3:7" ht="15" customHeight="1">
      <c r="C218" t="str">
        <f t="shared" si="4"/>
        <v/>
      </c>
      <c r="F218" t="str">
        <f>IF($E218="","",IFERROR(INDEX(Ansprechpartner!$F$4:$F$80,MATCH($E218,AP_Namen,0)),""))</f>
        <v/>
      </c>
      <c r="G218" t="str">
        <f>IF($E218="","",IFERROR(INDEX(Ansprechpartner!$C$4:$C$80,MATCH($E218,AP_Namen,0)),""))</f>
        <v/>
      </c>
    </row>
    <row r="219" spans="3:7" ht="15" customHeight="1">
      <c r="C219" t="str">
        <f t="shared" si="4"/>
        <v/>
      </c>
      <c r="F219" t="str">
        <f>IF($E219="","",IFERROR(INDEX(Ansprechpartner!$F$4:$F$80,MATCH($E219,AP_Namen,0)),""))</f>
        <v/>
      </c>
      <c r="G219" t="str">
        <f>IF($E219="","",IFERROR(INDEX(Ansprechpartner!$C$4:$C$80,MATCH($E219,AP_Namen,0)),""))</f>
        <v/>
      </c>
    </row>
    <row r="220" spans="3:7" ht="15" customHeight="1">
      <c r="C220" t="str">
        <f t="shared" si="4"/>
        <v/>
      </c>
      <c r="F220" t="str">
        <f>IF($E220="","",IFERROR(INDEX(Ansprechpartner!$F$4:$F$80,MATCH($E220,AP_Namen,0)),""))</f>
        <v/>
      </c>
      <c r="G220" t="str">
        <f>IF($E220="","",IFERROR(INDEX(Ansprechpartner!$C$4:$C$80,MATCH($E220,AP_Namen,0)),""))</f>
        <v/>
      </c>
    </row>
    <row r="221" spans="3:7" ht="15" customHeight="1">
      <c r="C221" t="str">
        <f t="shared" si="4"/>
        <v/>
      </c>
      <c r="F221" t="str">
        <f>IF($E221="","",IFERROR(INDEX(Ansprechpartner!$F$4:$F$80,MATCH($E221,AP_Namen,0)),""))</f>
        <v/>
      </c>
      <c r="G221" t="str">
        <f>IF($E221="","",IFERROR(INDEX(Ansprechpartner!$C$4:$C$80,MATCH($E221,AP_Namen,0)),""))</f>
        <v/>
      </c>
    </row>
    <row r="222" spans="3:7" ht="15" customHeight="1">
      <c r="C222" t="str">
        <f t="shared" si="4"/>
        <v/>
      </c>
      <c r="F222" t="str">
        <f>IF($E222="","",IFERROR(INDEX(Ansprechpartner!$F$4:$F$80,MATCH($E222,AP_Namen,0)),""))</f>
        <v/>
      </c>
      <c r="G222" t="str">
        <f>IF($E222="","",IFERROR(INDEX(Ansprechpartner!$C$4:$C$80,MATCH($E222,AP_Namen,0)),""))</f>
        <v/>
      </c>
    </row>
    <row r="223" spans="3:7" ht="15" customHeight="1">
      <c r="C223" t="str">
        <f t="shared" si="4"/>
        <v/>
      </c>
      <c r="F223" t="str">
        <f>IF($E223="","",IFERROR(INDEX(Ansprechpartner!$F$4:$F$80,MATCH($E223,AP_Namen,0)),""))</f>
        <v/>
      </c>
      <c r="G223" t="str">
        <f>IF($E223="","",IFERROR(INDEX(Ansprechpartner!$C$4:$C$80,MATCH($E223,AP_Namen,0)),""))</f>
        <v/>
      </c>
    </row>
    <row r="224" spans="3:7" ht="15" customHeight="1">
      <c r="C224" t="str">
        <f t="shared" si="4"/>
        <v/>
      </c>
      <c r="F224" t="str">
        <f>IF($E224="","",IFERROR(INDEX(Ansprechpartner!$F$4:$F$80,MATCH($E224,AP_Namen,0)),""))</f>
        <v/>
      </c>
      <c r="G224" t="str">
        <f>IF($E224="","",IFERROR(INDEX(Ansprechpartner!$C$4:$C$80,MATCH($E224,AP_Namen,0)),""))</f>
        <v/>
      </c>
    </row>
    <row r="225" spans="3:7" ht="15" customHeight="1">
      <c r="C225" t="str">
        <f t="shared" si="4"/>
        <v/>
      </c>
      <c r="F225" t="str">
        <f>IF($E225="","",IFERROR(INDEX(Ansprechpartner!$F$4:$F$80,MATCH($E225,AP_Namen,0)),""))</f>
        <v/>
      </c>
      <c r="G225" t="str">
        <f>IF($E225="","",IFERROR(INDEX(Ansprechpartner!$C$4:$C$80,MATCH($E225,AP_Namen,0)),""))</f>
        <v/>
      </c>
    </row>
    <row r="226" spans="3:7" ht="15" customHeight="1">
      <c r="C226" t="str">
        <f t="shared" si="4"/>
        <v/>
      </c>
      <c r="F226" t="str">
        <f>IF($E226="","",IFERROR(INDEX(Ansprechpartner!$F$4:$F$80,MATCH($E226,AP_Namen,0)),""))</f>
        <v/>
      </c>
      <c r="G226" t="str">
        <f>IF($E226="","",IFERROR(INDEX(Ansprechpartner!$C$4:$C$80,MATCH($E226,AP_Namen,0)),""))</f>
        <v/>
      </c>
    </row>
    <row r="227" spans="3:7" ht="15" customHeight="1">
      <c r="C227" t="str">
        <f t="shared" si="4"/>
        <v/>
      </c>
      <c r="F227" t="str">
        <f>IF($E227="","",IFERROR(INDEX(Ansprechpartner!$F$4:$F$80,MATCH($E227,AP_Namen,0)),""))</f>
        <v/>
      </c>
      <c r="G227" t="str">
        <f>IF($E227="","",IFERROR(INDEX(Ansprechpartner!$C$4:$C$80,MATCH($E227,AP_Namen,0)),""))</f>
        <v/>
      </c>
    </row>
    <row r="228" spans="3:7" ht="15" customHeight="1">
      <c r="C228" t="str">
        <f t="shared" si="4"/>
        <v/>
      </c>
      <c r="F228" t="str">
        <f>IF($E228="","",IFERROR(INDEX(Ansprechpartner!$F$4:$F$80,MATCH($E228,AP_Namen,0)),""))</f>
        <v/>
      </c>
      <c r="G228" t="str">
        <f>IF($E228="","",IFERROR(INDEX(Ansprechpartner!$C$4:$C$80,MATCH($E228,AP_Namen,0)),""))</f>
        <v/>
      </c>
    </row>
    <row r="229" spans="3:7" ht="15" customHeight="1">
      <c r="C229" t="str">
        <f t="shared" si="4"/>
        <v/>
      </c>
      <c r="F229" t="str">
        <f>IF($E229="","",IFERROR(INDEX(Ansprechpartner!$F$4:$F$80,MATCH($E229,AP_Namen,0)),""))</f>
        <v/>
      </c>
      <c r="G229" t="str">
        <f>IF($E229="","",IFERROR(INDEX(Ansprechpartner!$C$4:$C$80,MATCH($E229,AP_Namen,0)),""))</f>
        <v/>
      </c>
    </row>
    <row r="230" spans="3:7" ht="15" customHeight="1">
      <c r="C230" t="str">
        <f t="shared" si="4"/>
        <v/>
      </c>
      <c r="F230" t="str">
        <f>IF($E230="","",IFERROR(INDEX(Ansprechpartner!$F$4:$F$80,MATCH($E230,AP_Namen,0)),""))</f>
        <v/>
      </c>
      <c r="G230" t="str">
        <f>IF($E230="","",IFERROR(INDEX(Ansprechpartner!$C$4:$C$80,MATCH($E230,AP_Namen,0)),""))</f>
        <v/>
      </c>
    </row>
    <row r="231" spans="3:7" ht="15" customHeight="1">
      <c r="C231" t="str">
        <f t="shared" si="4"/>
        <v/>
      </c>
      <c r="F231" t="str">
        <f>IF($E231="","",IFERROR(INDEX(Ansprechpartner!$F$4:$F$80,MATCH($E231,AP_Namen,0)),""))</f>
        <v/>
      </c>
      <c r="G231" t="str">
        <f>IF($E231="","",IFERROR(INDEX(Ansprechpartner!$C$4:$C$80,MATCH($E231,AP_Namen,0)),""))</f>
        <v/>
      </c>
    </row>
    <row r="232" spans="3:7" ht="15" customHeight="1">
      <c r="C232" t="str">
        <f t="shared" si="4"/>
        <v/>
      </c>
      <c r="F232" t="str">
        <f>IF($E232="","",IFERROR(INDEX(Ansprechpartner!$F$4:$F$80,MATCH($E232,AP_Namen,0)),""))</f>
        <v/>
      </c>
      <c r="G232" t="str">
        <f>IF($E232="","",IFERROR(INDEX(Ansprechpartner!$C$4:$C$80,MATCH($E232,AP_Namen,0)),""))</f>
        <v/>
      </c>
    </row>
    <row r="233" spans="3:7" ht="15" customHeight="1">
      <c r="C233" t="str">
        <f t="shared" si="4"/>
        <v/>
      </c>
      <c r="F233" t="str">
        <f>IF($E233="","",IFERROR(INDEX(Ansprechpartner!$F$4:$F$80,MATCH($E233,AP_Namen,0)),""))</f>
        <v/>
      </c>
      <c r="G233" t="str">
        <f>IF($E233="","",IFERROR(INDEX(Ansprechpartner!$C$4:$C$80,MATCH($E233,AP_Namen,0)),""))</f>
        <v/>
      </c>
    </row>
    <row r="234" spans="3:7" ht="15" customHeight="1">
      <c r="C234" t="str">
        <f t="shared" si="4"/>
        <v/>
      </c>
      <c r="F234" t="str">
        <f>IF($E234="","",IFERROR(INDEX(Ansprechpartner!$F$4:$F$80,MATCH($E234,AP_Namen,0)),""))</f>
        <v/>
      </c>
      <c r="G234" t="str">
        <f>IF($E234="","",IFERROR(INDEX(Ansprechpartner!$C$4:$C$80,MATCH($E234,AP_Namen,0)),""))</f>
        <v/>
      </c>
    </row>
    <row r="235" spans="3:7" ht="15" customHeight="1">
      <c r="C235" t="str">
        <f t="shared" si="4"/>
        <v/>
      </c>
      <c r="F235" t="str">
        <f>IF($E235="","",IFERROR(INDEX(Ansprechpartner!$F$4:$F$80,MATCH($E235,AP_Namen,0)),""))</f>
        <v/>
      </c>
      <c r="G235" t="str">
        <f>IF($E235="","",IFERROR(INDEX(Ansprechpartner!$C$4:$C$80,MATCH($E235,AP_Namen,0)),""))</f>
        <v/>
      </c>
    </row>
    <row r="236" spans="3:7" ht="15" customHeight="1">
      <c r="C236" t="str">
        <f t="shared" si="4"/>
        <v/>
      </c>
      <c r="F236" t="str">
        <f>IF($E236="","",IFERROR(INDEX(Ansprechpartner!$F$4:$F$80,MATCH($E236,AP_Namen,0)),""))</f>
        <v/>
      </c>
      <c r="G236" t="str">
        <f>IF($E236="","",IFERROR(INDEX(Ansprechpartner!$C$4:$C$80,MATCH($E236,AP_Namen,0)),""))</f>
        <v/>
      </c>
    </row>
    <row r="237" spans="3:7" ht="15" customHeight="1">
      <c r="C237" t="str">
        <f t="shared" si="4"/>
        <v/>
      </c>
      <c r="F237" t="str">
        <f>IF($E237="","",IFERROR(INDEX(Ansprechpartner!$F$4:$F$80,MATCH($E237,AP_Namen,0)),""))</f>
        <v/>
      </c>
      <c r="G237" t="str">
        <f>IF($E237="","",IFERROR(INDEX(Ansprechpartner!$C$4:$C$80,MATCH($E237,AP_Namen,0)),""))</f>
        <v/>
      </c>
    </row>
    <row r="238" spans="3:7" ht="15" customHeight="1">
      <c r="C238" t="str">
        <f t="shared" si="4"/>
        <v/>
      </c>
      <c r="F238" t="str">
        <f>IF($E238="","",IFERROR(INDEX(Ansprechpartner!$F$4:$F$80,MATCH($E238,AP_Namen,0)),""))</f>
        <v/>
      </c>
      <c r="G238" t="str">
        <f>IF($E238="","",IFERROR(INDEX(Ansprechpartner!$C$4:$C$80,MATCH($E238,AP_Namen,0)),""))</f>
        <v/>
      </c>
    </row>
    <row r="239" spans="3:7" ht="15" customHeight="1">
      <c r="C239" t="str">
        <f t="shared" si="4"/>
        <v/>
      </c>
      <c r="F239" t="str">
        <f>IF($E239="","",IFERROR(INDEX(Ansprechpartner!$F$4:$F$80,MATCH($E239,AP_Namen,0)),""))</f>
        <v/>
      </c>
      <c r="G239" t="str">
        <f>IF($E239="","",IFERROR(INDEX(Ansprechpartner!$C$4:$C$80,MATCH($E239,AP_Namen,0)),""))</f>
        <v/>
      </c>
    </row>
    <row r="240" spans="3:7" ht="15" customHeight="1">
      <c r="C240" t="str">
        <f t="shared" si="4"/>
        <v/>
      </c>
      <c r="F240" t="str">
        <f>IF($E240="","",IFERROR(INDEX(Ansprechpartner!$F$4:$F$80,MATCH($E240,AP_Namen,0)),""))</f>
        <v/>
      </c>
      <c r="G240" t="str">
        <f>IF($E240="","",IFERROR(INDEX(Ansprechpartner!$C$4:$C$80,MATCH($E240,AP_Namen,0)),""))</f>
        <v/>
      </c>
    </row>
    <row r="241" spans="3:7" ht="15" customHeight="1">
      <c r="C241" t="str">
        <f t="shared" si="4"/>
        <v/>
      </c>
      <c r="F241" t="str">
        <f>IF($E241="","",IFERROR(INDEX(Ansprechpartner!$F$4:$F$80,MATCH($E241,AP_Namen,0)),""))</f>
        <v/>
      </c>
      <c r="G241" t="str">
        <f>IF($E241="","",IFERROR(INDEX(Ansprechpartner!$C$4:$C$80,MATCH($E241,AP_Namen,0)),""))</f>
        <v/>
      </c>
    </row>
    <row r="242" spans="3:7" ht="15" customHeight="1">
      <c r="C242" t="str">
        <f t="shared" si="4"/>
        <v/>
      </c>
      <c r="F242" t="str">
        <f>IF($E242="","",IFERROR(INDEX(Ansprechpartner!$F$4:$F$80,MATCH($E242,AP_Namen,0)),""))</f>
        <v/>
      </c>
      <c r="G242" t="str">
        <f>IF($E242="","",IFERROR(INDEX(Ansprechpartner!$C$4:$C$80,MATCH($E242,AP_Namen,0)),""))</f>
        <v/>
      </c>
    </row>
    <row r="243" spans="3:7" ht="15" customHeight="1">
      <c r="C243" t="str">
        <f t="shared" si="4"/>
        <v/>
      </c>
      <c r="F243" t="str">
        <f>IF($E243="","",IFERROR(INDEX(Ansprechpartner!$F$4:$F$80,MATCH($E243,AP_Namen,0)),""))</f>
        <v/>
      </c>
      <c r="G243" t="str">
        <f>IF($E243="","",IFERROR(INDEX(Ansprechpartner!$C$4:$C$80,MATCH($E243,AP_Namen,0)),""))</f>
        <v/>
      </c>
    </row>
    <row r="244" spans="3:7" ht="15" customHeight="1">
      <c r="C244" t="str">
        <f t="shared" si="4"/>
        <v/>
      </c>
      <c r="F244" t="str">
        <f>IF($E244="","",IFERROR(INDEX(Ansprechpartner!$F$4:$F$80,MATCH($E244,AP_Namen,0)),""))</f>
        <v/>
      </c>
      <c r="G244" t="str">
        <f>IF($E244="","",IFERROR(INDEX(Ansprechpartner!$C$4:$C$80,MATCH($E244,AP_Namen,0)),""))</f>
        <v/>
      </c>
    </row>
    <row r="245" spans="3:7" ht="15" customHeight="1">
      <c r="C245" t="str">
        <f t="shared" si="4"/>
        <v/>
      </c>
      <c r="F245" t="str">
        <f>IF($E245="","",IFERROR(INDEX(Ansprechpartner!$F$4:$F$80,MATCH($E245,AP_Namen,0)),""))</f>
        <v/>
      </c>
      <c r="G245" t="str">
        <f>IF($E245="","",IFERROR(INDEX(Ansprechpartner!$C$4:$C$80,MATCH($E245,AP_Namen,0)),""))</f>
        <v/>
      </c>
    </row>
    <row r="246" spans="3:7" ht="15" customHeight="1">
      <c r="C246" t="str">
        <f t="shared" si="4"/>
        <v/>
      </c>
      <c r="F246" t="str">
        <f>IF($E246="","",IFERROR(INDEX(Ansprechpartner!$F$4:$F$80,MATCH($E246,AP_Namen,0)),""))</f>
        <v/>
      </c>
      <c r="G246" t="str">
        <f>IF($E246="","",IFERROR(INDEX(Ansprechpartner!$C$4:$C$80,MATCH($E246,AP_Namen,0)),""))</f>
        <v/>
      </c>
    </row>
    <row r="247" spans="3:7" ht="15" customHeight="1">
      <c r="C247" t="str">
        <f t="shared" si="4"/>
        <v/>
      </c>
      <c r="F247" t="str">
        <f>IF($E247="","",IFERROR(INDEX(Ansprechpartner!$F$4:$F$80,MATCH($E247,AP_Namen,0)),""))</f>
        <v/>
      </c>
      <c r="G247" t="str">
        <f>IF($E247="","",IFERROR(INDEX(Ansprechpartner!$C$4:$C$80,MATCH($E247,AP_Namen,0)),""))</f>
        <v/>
      </c>
    </row>
    <row r="248" spans="3:7" ht="15" customHeight="1">
      <c r="C248" t="str">
        <f t="shared" si="4"/>
        <v/>
      </c>
      <c r="F248" t="str">
        <f>IF($E248="","",IFERROR(INDEX(Ansprechpartner!$F$4:$F$80,MATCH($E248,AP_Namen,0)),""))</f>
        <v/>
      </c>
      <c r="G248" t="str">
        <f>IF($E248="","",IFERROR(INDEX(Ansprechpartner!$C$4:$C$80,MATCH($E248,AP_Namen,0)),""))</f>
        <v/>
      </c>
    </row>
    <row r="249" spans="3:7" ht="15" customHeight="1">
      <c r="C249" t="str">
        <f t="shared" si="4"/>
        <v/>
      </c>
      <c r="F249" t="str">
        <f>IF($E249="","",IFERROR(INDEX(Ansprechpartner!$F$4:$F$80,MATCH($E249,AP_Namen,0)),""))</f>
        <v/>
      </c>
      <c r="G249" t="str">
        <f>IF($E249="","",IFERROR(INDEX(Ansprechpartner!$C$4:$C$80,MATCH($E249,AP_Namen,0)),""))</f>
        <v/>
      </c>
    </row>
    <row r="250" spans="3:7" ht="15" customHeight="1">
      <c r="C250" t="str">
        <f t="shared" si="4"/>
        <v/>
      </c>
      <c r="F250" t="str">
        <f>IF($E250="","",IFERROR(INDEX(Ansprechpartner!$F$4:$F$80,MATCH($E250,AP_Namen,0)),""))</f>
        <v/>
      </c>
      <c r="G250" t="str">
        <f>IF($E250="","",IFERROR(INDEX(Ansprechpartner!$C$4:$C$80,MATCH($E250,AP_Namen,0)),""))</f>
        <v/>
      </c>
    </row>
    <row r="251" spans="3:7" ht="15" customHeight="1">
      <c r="C251" t="str">
        <f t="shared" si="4"/>
        <v/>
      </c>
      <c r="F251" t="str">
        <f>IF($E251="","",IFERROR(INDEX(Ansprechpartner!$F$4:$F$80,MATCH($E251,AP_Namen,0)),""))</f>
        <v/>
      </c>
      <c r="G251" t="str">
        <f>IF($E251="","",IFERROR(INDEX(Ansprechpartner!$C$4:$C$80,MATCH($E251,AP_Namen,0)),""))</f>
        <v/>
      </c>
    </row>
    <row r="252" spans="3:7" ht="15" customHeight="1">
      <c r="C252" t="str">
        <f t="shared" si="4"/>
        <v/>
      </c>
      <c r="F252" t="str">
        <f>IF($E252="","",IFERROR(INDEX(Ansprechpartner!$F$4:$F$80,MATCH($E252,AP_Namen,0)),""))</f>
        <v/>
      </c>
      <c r="G252" t="str">
        <f>IF($E252="","",IFERROR(INDEX(Ansprechpartner!$C$4:$C$80,MATCH($E252,AP_Namen,0)),""))</f>
        <v/>
      </c>
    </row>
    <row r="253" spans="3:7" ht="15" customHeight="1">
      <c r="C253" t="str">
        <f t="shared" si="4"/>
        <v/>
      </c>
      <c r="F253" t="str">
        <f>IF($E253="","",IFERROR(INDEX(Ansprechpartner!$F$4:$F$80,MATCH($E253,AP_Namen,0)),""))</f>
        <v/>
      </c>
      <c r="G253" t="str">
        <f>IF($E253="","",IFERROR(INDEX(Ansprechpartner!$C$4:$C$80,MATCH($E253,AP_Namen,0)),""))</f>
        <v/>
      </c>
    </row>
    <row r="254" spans="3:7" ht="15" customHeight="1">
      <c r="C254" t="str">
        <f t="shared" si="4"/>
        <v/>
      </c>
      <c r="F254" t="str">
        <f>IF($E254="","",IFERROR(INDEX(Ansprechpartner!$F$4:$F$80,MATCH($E254,AP_Namen,0)),""))</f>
        <v/>
      </c>
      <c r="G254" t="str">
        <f>IF($E254="","",IFERROR(INDEX(Ansprechpartner!$C$4:$C$80,MATCH($E254,AP_Namen,0)),""))</f>
        <v/>
      </c>
    </row>
    <row r="255" spans="3:7" ht="15" customHeight="1">
      <c r="C255" t="str">
        <f t="shared" si="4"/>
        <v/>
      </c>
      <c r="F255" t="str">
        <f>IF($E255="","",IFERROR(INDEX(Ansprechpartner!$F$4:$F$80,MATCH($E255,AP_Namen,0)),""))</f>
        <v/>
      </c>
      <c r="G255" t="str">
        <f>IF($E255="","",IFERROR(INDEX(Ansprechpartner!$C$4:$C$80,MATCH($E255,AP_Namen,0)),""))</f>
        <v/>
      </c>
    </row>
    <row r="256" spans="3:7" ht="15" customHeight="1">
      <c r="C256" t="str">
        <f t="shared" si="4"/>
        <v/>
      </c>
      <c r="F256" t="str">
        <f>IF($E256="","",IFERROR(INDEX(Ansprechpartner!$F$4:$F$80,MATCH($E256,AP_Namen,0)),""))</f>
        <v/>
      </c>
      <c r="G256" t="str">
        <f>IF($E256="","",IFERROR(INDEX(Ansprechpartner!$C$4:$C$80,MATCH($E256,AP_Namen,0)),""))</f>
        <v/>
      </c>
    </row>
    <row r="257" spans="3:7" ht="15" customHeight="1">
      <c r="C257" t="str">
        <f t="shared" si="4"/>
        <v/>
      </c>
      <c r="F257" t="str">
        <f>IF($E257="","",IFERROR(INDEX(Ansprechpartner!$F$4:$F$80,MATCH($E257,AP_Namen,0)),""))</f>
        <v/>
      </c>
      <c r="G257" t="str">
        <f>IF($E257="","",IFERROR(INDEX(Ansprechpartner!$C$4:$C$80,MATCH($E257,AP_Namen,0)),""))</f>
        <v/>
      </c>
    </row>
    <row r="258" spans="3:7" ht="15" customHeight="1">
      <c r="C258" t="str">
        <f t="shared" si="4"/>
        <v/>
      </c>
      <c r="F258" t="str">
        <f>IF($E258="","",IFERROR(INDEX(Ansprechpartner!$F$4:$F$80,MATCH($E258,AP_Namen,0)),""))</f>
        <v/>
      </c>
      <c r="G258" t="str">
        <f>IF($E258="","",IFERROR(INDEX(Ansprechpartner!$C$4:$C$80,MATCH($E258,AP_Namen,0)),""))</f>
        <v/>
      </c>
    </row>
    <row r="259" spans="3:7" ht="15" customHeight="1">
      <c r="C259" t="str">
        <f t="shared" si="4"/>
        <v/>
      </c>
      <c r="F259" t="str">
        <f>IF($E259="","",IFERROR(INDEX(Ansprechpartner!$F$4:$F$80,MATCH($E259,AP_Namen,0)),""))</f>
        <v/>
      </c>
      <c r="G259" t="str">
        <f>IF($E259="","",IFERROR(INDEX(Ansprechpartner!$C$4:$C$80,MATCH($E259,AP_Namen,0)),""))</f>
        <v/>
      </c>
    </row>
    <row r="260" spans="3:7" ht="15" customHeight="1">
      <c r="C260" t="str">
        <f t="shared" si="4"/>
        <v/>
      </c>
      <c r="F260" t="str">
        <f>IF($E260="","",IFERROR(INDEX(Ansprechpartner!$F$4:$F$80,MATCH($E260,AP_Namen,0)),""))</f>
        <v/>
      </c>
      <c r="G260" t="str">
        <f>IF($E260="","",IFERROR(INDEX(Ansprechpartner!$C$4:$C$80,MATCH($E260,AP_Namen,0)),""))</f>
        <v/>
      </c>
    </row>
    <row r="261" spans="3:7" ht="15" customHeight="1">
      <c r="C261" t="str">
        <f t="shared" si="4"/>
        <v/>
      </c>
      <c r="F261" t="str">
        <f>IF($E261="","",IFERROR(INDEX(Ansprechpartner!$F$4:$F$80,MATCH($E261,AP_Namen,0)),""))</f>
        <v/>
      </c>
      <c r="G261" t="str">
        <f>IF($E261="","",IFERROR(INDEX(Ansprechpartner!$C$4:$C$80,MATCH($E261,AP_Namen,0)),""))</f>
        <v/>
      </c>
    </row>
    <row r="262" spans="3:7" ht="15" customHeight="1">
      <c r="C262" t="str">
        <f t="shared" si="4"/>
        <v/>
      </c>
      <c r="F262" t="str">
        <f>IF($E262="","",IFERROR(INDEX(Ansprechpartner!$F$4:$F$80,MATCH($E262,AP_Namen,0)),""))</f>
        <v/>
      </c>
      <c r="G262" t="str">
        <f>IF($E262="","",IFERROR(INDEX(Ansprechpartner!$C$4:$C$80,MATCH($E262,AP_Namen,0)),""))</f>
        <v/>
      </c>
    </row>
    <row r="263" spans="3:7" ht="15" customHeight="1">
      <c r="C263" t="str">
        <f t="shared" si="4"/>
        <v/>
      </c>
      <c r="F263" t="str">
        <f>IF($E263="","",IFERROR(INDEX(Ansprechpartner!$F$4:$F$80,MATCH($E263,AP_Namen,0)),""))</f>
        <v/>
      </c>
      <c r="G263" t="str">
        <f>IF($E263="","",IFERROR(INDEX(Ansprechpartner!$C$4:$C$80,MATCH($E263,AP_Namen,0)),""))</f>
        <v/>
      </c>
    </row>
    <row r="264" spans="3:7" ht="15" customHeight="1">
      <c r="C264" t="str">
        <f t="shared" si="4"/>
        <v/>
      </c>
      <c r="F264" t="str">
        <f>IF($E264="","",IFERROR(INDEX(Ansprechpartner!$F$4:$F$80,MATCH($E264,AP_Namen,0)),""))</f>
        <v/>
      </c>
      <c r="G264" t="str">
        <f>IF($E264="","",IFERROR(INDEX(Ansprechpartner!$C$4:$C$80,MATCH($E264,AP_Namen,0)),""))</f>
        <v/>
      </c>
    </row>
    <row r="265" spans="3:7" ht="15" customHeight="1">
      <c r="C265" t="str">
        <f t="shared" si="4"/>
        <v/>
      </c>
      <c r="F265" t="str">
        <f>IF($E265="","",IFERROR(INDEX(Ansprechpartner!$F$4:$F$80,MATCH($E265,AP_Namen,0)),""))</f>
        <v/>
      </c>
      <c r="G265" t="str">
        <f>IF($E265="","",IFERROR(INDEX(Ansprechpartner!$C$4:$C$80,MATCH($E265,AP_Namen,0)),""))</f>
        <v/>
      </c>
    </row>
    <row r="266" spans="3:7" ht="15" customHeight="1">
      <c r="C266" t="str">
        <f t="shared" ref="C266:C305" si="5">IF(B266="","",CHOOSE(WEEKDAY(B266,2),"Montag","Dienstag","Mittwoch","Donnerstag","Freitag","Samstag","Sonntag"))</f>
        <v/>
      </c>
      <c r="F266" t="str">
        <f>IF($E266="","",IFERROR(INDEX(Ansprechpartner!$F$4:$F$80,MATCH($E266,AP_Namen,0)),""))</f>
        <v/>
      </c>
      <c r="G266" t="str">
        <f>IF($E266="","",IFERROR(INDEX(Ansprechpartner!$C$4:$C$80,MATCH($E266,AP_Namen,0)),""))</f>
        <v/>
      </c>
    </row>
    <row r="267" spans="3:7" ht="15" customHeight="1">
      <c r="C267" t="str">
        <f t="shared" si="5"/>
        <v/>
      </c>
      <c r="F267" t="str">
        <f>IF($E267="","",IFERROR(INDEX(Ansprechpartner!$F$4:$F$80,MATCH($E267,AP_Namen,0)),""))</f>
        <v/>
      </c>
      <c r="G267" t="str">
        <f>IF($E267="","",IFERROR(INDEX(Ansprechpartner!$C$4:$C$80,MATCH($E267,AP_Namen,0)),""))</f>
        <v/>
      </c>
    </row>
    <row r="268" spans="3:7" ht="15" customHeight="1">
      <c r="C268" t="str">
        <f t="shared" si="5"/>
        <v/>
      </c>
      <c r="F268" t="str">
        <f>IF($E268="","",IFERROR(INDEX(Ansprechpartner!$F$4:$F$80,MATCH($E268,AP_Namen,0)),""))</f>
        <v/>
      </c>
      <c r="G268" t="str">
        <f>IF($E268="","",IFERROR(INDEX(Ansprechpartner!$C$4:$C$80,MATCH($E268,AP_Namen,0)),""))</f>
        <v/>
      </c>
    </row>
    <row r="269" spans="3:7" ht="15" customHeight="1">
      <c r="C269" t="str">
        <f t="shared" si="5"/>
        <v/>
      </c>
      <c r="F269" t="str">
        <f>IF($E269="","",IFERROR(INDEX(Ansprechpartner!$F$4:$F$80,MATCH($E269,AP_Namen,0)),""))</f>
        <v/>
      </c>
      <c r="G269" t="str">
        <f>IF($E269="","",IFERROR(INDEX(Ansprechpartner!$C$4:$C$80,MATCH($E269,AP_Namen,0)),""))</f>
        <v/>
      </c>
    </row>
    <row r="270" spans="3:7" ht="15" customHeight="1">
      <c r="C270" t="str">
        <f t="shared" si="5"/>
        <v/>
      </c>
      <c r="F270" t="str">
        <f>IF($E270="","",IFERROR(INDEX(Ansprechpartner!$F$4:$F$80,MATCH($E270,AP_Namen,0)),""))</f>
        <v/>
      </c>
      <c r="G270" t="str">
        <f>IF($E270="","",IFERROR(INDEX(Ansprechpartner!$C$4:$C$80,MATCH($E270,AP_Namen,0)),""))</f>
        <v/>
      </c>
    </row>
    <row r="271" spans="3:7" ht="15" customHeight="1">
      <c r="C271" t="str">
        <f t="shared" si="5"/>
        <v/>
      </c>
      <c r="F271" t="str">
        <f>IF($E271="","",IFERROR(INDEX(Ansprechpartner!$F$4:$F$80,MATCH($E271,AP_Namen,0)),""))</f>
        <v/>
      </c>
      <c r="G271" t="str">
        <f>IF($E271="","",IFERROR(INDEX(Ansprechpartner!$C$4:$C$80,MATCH($E271,AP_Namen,0)),""))</f>
        <v/>
      </c>
    </row>
    <row r="272" spans="3:7" ht="15" customHeight="1">
      <c r="C272" t="str">
        <f t="shared" si="5"/>
        <v/>
      </c>
      <c r="F272" t="str">
        <f>IF($E272="","",IFERROR(INDEX(Ansprechpartner!$F$4:$F$80,MATCH($E272,AP_Namen,0)),""))</f>
        <v/>
      </c>
      <c r="G272" t="str">
        <f>IF($E272="","",IFERROR(INDEX(Ansprechpartner!$C$4:$C$80,MATCH($E272,AP_Namen,0)),""))</f>
        <v/>
      </c>
    </row>
    <row r="273" spans="3:7" ht="15" customHeight="1">
      <c r="C273" t="str">
        <f t="shared" si="5"/>
        <v/>
      </c>
      <c r="F273" t="str">
        <f>IF($E273="","",IFERROR(INDEX(Ansprechpartner!$F$4:$F$80,MATCH($E273,AP_Namen,0)),""))</f>
        <v/>
      </c>
      <c r="G273" t="str">
        <f>IF($E273="","",IFERROR(INDEX(Ansprechpartner!$C$4:$C$80,MATCH($E273,AP_Namen,0)),""))</f>
        <v/>
      </c>
    </row>
    <row r="274" spans="3:7" ht="15" customHeight="1">
      <c r="C274" t="str">
        <f t="shared" si="5"/>
        <v/>
      </c>
      <c r="F274" t="str">
        <f>IF($E274="","",IFERROR(INDEX(Ansprechpartner!$F$4:$F$80,MATCH($E274,AP_Namen,0)),""))</f>
        <v/>
      </c>
      <c r="G274" t="str">
        <f>IF($E274="","",IFERROR(INDEX(Ansprechpartner!$C$4:$C$80,MATCH($E274,AP_Namen,0)),""))</f>
        <v/>
      </c>
    </row>
    <row r="275" spans="3:7" ht="15" customHeight="1">
      <c r="C275" t="str">
        <f t="shared" si="5"/>
        <v/>
      </c>
      <c r="F275" t="str">
        <f>IF($E275="","",IFERROR(INDEX(Ansprechpartner!$F$4:$F$80,MATCH($E275,AP_Namen,0)),""))</f>
        <v/>
      </c>
      <c r="G275" t="str">
        <f>IF($E275="","",IFERROR(INDEX(Ansprechpartner!$C$4:$C$80,MATCH($E275,AP_Namen,0)),""))</f>
        <v/>
      </c>
    </row>
    <row r="276" spans="3:7" ht="15" customHeight="1">
      <c r="C276" t="str">
        <f t="shared" si="5"/>
        <v/>
      </c>
      <c r="F276" t="str">
        <f>IF($E276="","",IFERROR(INDEX(Ansprechpartner!$F$4:$F$80,MATCH($E276,AP_Namen,0)),""))</f>
        <v/>
      </c>
      <c r="G276" t="str">
        <f>IF($E276="","",IFERROR(INDEX(Ansprechpartner!$C$4:$C$80,MATCH($E276,AP_Namen,0)),""))</f>
        <v/>
      </c>
    </row>
    <row r="277" spans="3:7" ht="15" customHeight="1">
      <c r="C277" t="str">
        <f t="shared" si="5"/>
        <v/>
      </c>
      <c r="F277" t="str">
        <f>IF($E277="","",IFERROR(INDEX(Ansprechpartner!$F$4:$F$80,MATCH($E277,AP_Namen,0)),""))</f>
        <v/>
      </c>
      <c r="G277" t="str">
        <f>IF($E277="","",IFERROR(INDEX(Ansprechpartner!$C$4:$C$80,MATCH($E277,AP_Namen,0)),""))</f>
        <v/>
      </c>
    </row>
    <row r="278" spans="3:7" ht="15" customHeight="1">
      <c r="C278" t="str">
        <f t="shared" si="5"/>
        <v/>
      </c>
      <c r="F278" t="str">
        <f>IF($E278="","",IFERROR(INDEX(Ansprechpartner!$F$4:$F$80,MATCH($E278,AP_Namen,0)),""))</f>
        <v/>
      </c>
      <c r="G278" t="str">
        <f>IF($E278="","",IFERROR(INDEX(Ansprechpartner!$C$4:$C$80,MATCH($E278,AP_Namen,0)),""))</f>
        <v/>
      </c>
    </row>
    <row r="279" spans="3:7" ht="15" customHeight="1">
      <c r="C279" t="str">
        <f t="shared" si="5"/>
        <v/>
      </c>
      <c r="F279" t="str">
        <f>IF($E279="","",IFERROR(INDEX(Ansprechpartner!$F$4:$F$80,MATCH($E279,AP_Namen,0)),""))</f>
        <v/>
      </c>
      <c r="G279" t="str">
        <f>IF($E279="","",IFERROR(INDEX(Ansprechpartner!$C$4:$C$80,MATCH($E279,AP_Namen,0)),""))</f>
        <v/>
      </c>
    </row>
    <row r="280" spans="3:7" ht="15" customHeight="1">
      <c r="C280" t="str">
        <f t="shared" si="5"/>
        <v/>
      </c>
      <c r="F280" t="str">
        <f>IF($E280="","",IFERROR(INDEX(Ansprechpartner!$F$4:$F$80,MATCH($E280,AP_Namen,0)),""))</f>
        <v/>
      </c>
      <c r="G280" t="str">
        <f>IF($E280="","",IFERROR(INDEX(Ansprechpartner!$C$4:$C$80,MATCH($E280,AP_Namen,0)),""))</f>
        <v/>
      </c>
    </row>
    <row r="281" spans="3:7" ht="15" customHeight="1">
      <c r="C281" t="str">
        <f t="shared" si="5"/>
        <v/>
      </c>
      <c r="F281" t="str">
        <f>IF($E281="","",IFERROR(INDEX(Ansprechpartner!$F$4:$F$80,MATCH($E281,AP_Namen,0)),""))</f>
        <v/>
      </c>
      <c r="G281" t="str">
        <f>IF($E281="","",IFERROR(INDEX(Ansprechpartner!$C$4:$C$80,MATCH($E281,AP_Namen,0)),""))</f>
        <v/>
      </c>
    </row>
    <row r="282" spans="3:7" ht="15" customHeight="1">
      <c r="C282" t="str">
        <f t="shared" si="5"/>
        <v/>
      </c>
      <c r="F282" t="str">
        <f>IF($E282="","",IFERROR(INDEX(Ansprechpartner!$F$4:$F$80,MATCH($E282,AP_Namen,0)),""))</f>
        <v/>
      </c>
      <c r="G282" t="str">
        <f>IF($E282="","",IFERROR(INDEX(Ansprechpartner!$C$4:$C$80,MATCH($E282,AP_Namen,0)),""))</f>
        <v/>
      </c>
    </row>
    <row r="283" spans="3:7" ht="15" customHeight="1">
      <c r="C283" t="str">
        <f t="shared" si="5"/>
        <v/>
      </c>
      <c r="F283" t="str">
        <f>IF($E283="","",IFERROR(INDEX(Ansprechpartner!$F$4:$F$80,MATCH($E283,AP_Namen,0)),""))</f>
        <v/>
      </c>
      <c r="G283" t="str">
        <f>IF($E283="","",IFERROR(INDEX(Ansprechpartner!$C$4:$C$80,MATCH($E283,AP_Namen,0)),""))</f>
        <v/>
      </c>
    </row>
    <row r="284" spans="3:7" ht="15" customHeight="1">
      <c r="C284" t="str">
        <f t="shared" si="5"/>
        <v/>
      </c>
      <c r="F284" t="str">
        <f>IF($E284="","",IFERROR(INDEX(Ansprechpartner!$F$4:$F$80,MATCH($E284,AP_Namen,0)),""))</f>
        <v/>
      </c>
      <c r="G284" t="str">
        <f>IF($E284="","",IFERROR(INDEX(Ansprechpartner!$C$4:$C$80,MATCH($E284,AP_Namen,0)),""))</f>
        <v/>
      </c>
    </row>
    <row r="285" spans="3:7" ht="15" customHeight="1">
      <c r="C285" t="str">
        <f t="shared" si="5"/>
        <v/>
      </c>
      <c r="F285" t="str">
        <f>IF($E285="","",IFERROR(INDEX(Ansprechpartner!$F$4:$F$80,MATCH($E285,AP_Namen,0)),""))</f>
        <v/>
      </c>
      <c r="G285" t="str">
        <f>IF($E285="","",IFERROR(INDEX(Ansprechpartner!$C$4:$C$80,MATCH($E285,AP_Namen,0)),""))</f>
        <v/>
      </c>
    </row>
    <row r="286" spans="3:7" ht="15" customHeight="1">
      <c r="C286" t="str">
        <f t="shared" si="5"/>
        <v/>
      </c>
      <c r="F286" t="str">
        <f>IF($E286="","",IFERROR(INDEX(Ansprechpartner!$F$4:$F$80,MATCH($E286,AP_Namen,0)),""))</f>
        <v/>
      </c>
      <c r="G286" t="str">
        <f>IF($E286="","",IFERROR(INDEX(Ansprechpartner!$C$4:$C$80,MATCH($E286,AP_Namen,0)),""))</f>
        <v/>
      </c>
    </row>
    <row r="287" spans="3:7" ht="15" customHeight="1">
      <c r="C287" t="str">
        <f t="shared" si="5"/>
        <v/>
      </c>
      <c r="F287" t="str">
        <f>IF($E287="","",IFERROR(INDEX(Ansprechpartner!$F$4:$F$80,MATCH($E287,AP_Namen,0)),""))</f>
        <v/>
      </c>
      <c r="G287" t="str">
        <f>IF($E287="","",IFERROR(INDEX(Ansprechpartner!$C$4:$C$80,MATCH($E287,AP_Namen,0)),""))</f>
        <v/>
      </c>
    </row>
    <row r="288" spans="3:7" ht="15" customHeight="1">
      <c r="C288" t="str">
        <f t="shared" si="5"/>
        <v/>
      </c>
      <c r="F288" t="str">
        <f>IF($E288="","",IFERROR(INDEX(Ansprechpartner!$F$4:$F$80,MATCH($E288,AP_Namen,0)),""))</f>
        <v/>
      </c>
      <c r="G288" t="str">
        <f>IF($E288="","",IFERROR(INDEX(Ansprechpartner!$C$4:$C$80,MATCH($E288,AP_Namen,0)),""))</f>
        <v/>
      </c>
    </row>
    <row r="289" spans="3:7" ht="15" customHeight="1">
      <c r="C289" t="str">
        <f t="shared" si="5"/>
        <v/>
      </c>
      <c r="F289" t="str">
        <f>IF($E289="","",IFERROR(INDEX(Ansprechpartner!$F$4:$F$80,MATCH($E289,AP_Namen,0)),""))</f>
        <v/>
      </c>
      <c r="G289" t="str">
        <f>IF($E289="","",IFERROR(INDEX(Ansprechpartner!$C$4:$C$80,MATCH($E289,AP_Namen,0)),""))</f>
        <v/>
      </c>
    </row>
    <row r="290" spans="3:7" ht="15" customHeight="1">
      <c r="C290" t="str">
        <f t="shared" si="5"/>
        <v/>
      </c>
      <c r="F290" t="str">
        <f>IF($E290="","",IFERROR(INDEX(Ansprechpartner!$F$4:$F$80,MATCH($E290,AP_Namen,0)),""))</f>
        <v/>
      </c>
      <c r="G290" t="str">
        <f>IF($E290="","",IFERROR(INDEX(Ansprechpartner!$C$4:$C$80,MATCH($E290,AP_Namen,0)),""))</f>
        <v/>
      </c>
    </row>
    <row r="291" spans="3:7" ht="15" customHeight="1">
      <c r="C291" t="str">
        <f t="shared" si="5"/>
        <v/>
      </c>
      <c r="F291" t="str">
        <f>IF($E291="","",IFERROR(INDEX(Ansprechpartner!$F$4:$F$80,MATCH($E291,AP_Namen,0)),""))</f>
        <v/>
      </c>
      <c r="G291" t="str">
        <f>IF($E291="","",IFERROR(INDEX(Ansprechpartner!$C$4:$C$80,MATCH($E291,AP_Namen,0)),""))</f>
        <v/>
      </c>
    </row>
    <row r="292" spans="3:7" ht="15" customHeight="1">
      <c r="C292" t="str">
        <f t="shared" si="5"/>
        <v/>
      </c>
      <c r="F292" t="str">
        <f>IF($E292="","",IFERROR(INDEX(Ansprechpartner!$F$4:$F$80,MATCH($E292,AP_Namen,0)),""))</f>
        <v/>
      </c>
      <c r="G292" t="str">
        <f>IF($E292="","",IFERROR(INDEX(Ansprechpartner!$C$4:$C$80,MATCH($E292,AP_Namen,0)),""))</f>
        <v/>
      </c>
    </row>
    <row r="293" spans="3:7" ht="15" customHeight="1">
      <c r="C293" t="str">
        <f t="shared" si="5"/>
        <v/>
      </c>
      <c r="F293" t="str">
        <f>IF($E293="","",IFERROR(INDEX(Ansprechpartner!$F$4:$F$80,MATCH($E293,AP_Namen,0)),""))</f>
        <v/>
      </c>
      <c r="G293" t="str">
        <f>IF($E293="","",IFERROR(INDEX(Ansprechpartner!$C$4:$C$80,MATCH($E293,AP_Namen,0)),""))</f>
        <v/>
      </c>
    </row>
    <row r="294" spans="3:7" ht="15" customHeight="1">
      <c r="C294" t="str">
        <f t="shared" si="5"/>
        <v/>
      </c>
      <c r="F294" t="str">
        <f>IF($E294="","",IFERROR(INDEX(Ansprechpartner!$F$4:$F$80,MATCH($E294,AP_Namen,0)),""))</f>
        <v/>
      </c>
      <c r="G294" t="str">
        <f>IF($E294="","",IFERROR(INDEX(Ansprechpartner!$C$4:$C$80,MATCH($E294,AP_Namen,0)),""))</f>
        <v/>
      </c>
    </row>
    <row r="295" spans="3:7" ht="15" customHeight="1">
      <c r="C295" t="str">
        <f t="shared" si="5"/>
        <v/>
      </c>
      <c r="F295" t="str">
        <f>IF($E295="","",IFERROR(INDEX(Ansprechpartner!$F$4:$F$80,MATCH($E295,AP_Namen,0)),""))</f>
        <v/>
      </c>
      <c r="G295" t="str">
        <f>IF($E295="","",IFERROR(INDEX(Ansprechpartner!$C$4:$C$80,MATCH($E295,AP_Namen,0)),""))</f>
        <v/>
      </c>
    </row>
    <row r="296" spans="3:7" ht="15" customHeight="1">
      <c r="C296" t="str">
        <f t="shared" si="5"/>
        <v/>
      </c>
      <c r="F296" t="str">
        <f>IF($E296="","",IFERROR(INDEX(Ansprechpartner!$F$4:$F$80,MATCH($E296,AP_Namen,0)),""))</f>
        <v/>
      </c>
      <c r="G296" t="str">
        <f>IF($E296="","",IFERROR(INDEX(Ansprechpartner!$C$4:$C$80,MATCH($E296,AP_Namen,0)),""))</f>
        <v/>
      </c>
    </row>
    <row r="297" spans="3:7" ht="15" customHeight="1">
      <c r="C297" t="str">
        <f t="shared" si="5"/>
        <v/>
      </c>
      <c r="F297" t="str">
        <f>IF($E297="","",IFERROR(INDEX(Ansprechpartner!$F$4:$F$80,MATCH($E297,AP_Namen,0)),""))</f>
        <v/>
      </c>
      <c r="G297" t="str">
        <f>IF($E297="","",IFERROR(INDEX(Ansprechpartner!$C$4:$C$80,MATCH($E297,AP_Namen,0)),""))</f>
        <v/>
      </c>
    </row>
    <row r="298" spans="3:7" ht="15" customHeight="1">
      <c r="C298" t="str">
        <f t="shared" si="5"/>
        <v/>
      </c>
      <c r="F298" t="str">
        <f>IF($E298="","",IFERROR(INDEX(Ansprechpartner!$F$4:$F$80,MATCH($E298,AP_Namen,0)),""))</f>
        <v/>
      </c>
      <c r="G298" t="str">
        <f>IF($E298="","",IFERROR(INDEX(Ansprechpartner!$C$4:$C$80,MATCH($E298,AP_Namen,0)),""))</f>
        <v/>
      </c>
    </row>
    <row r="299" spans="3:7" ht="15" customHeight="1">
      <c r="C299" t="str">
        <f t="shared" si="5"/>
        <v/>
      </c>
      <c r="F299" t="str">
        <f>IF($E299="","",IFERROR(INDEX(Ansprechpartner!$F$4:$F$80,MATCH($E299,AP_Namen,0)),""))</f>
        <v/>
      </c>
      <c r="G299" t="str">
        <f>IF($E299="","",IFERROR(INDEX(Ansprechpartner!$C$4:$C$80,MATCH($E299,AP_Namen,0)),""))</f>
        <v/>
      </c>
    </row>
    <row r="300" spans="3:7" ht="15" customHeight="1">
      <c r="C300" t="str">
        <f t="shared" si="5"/>
        <v/>
      </c>
      <c r="F300" t="str">
        <f>IF($E300="","",IFERROR(INDEX(Ansprechpartner!$F$4:$F$80,MATCH($E300,AP_Namen,0)),""))</f>
        <v/>
      </c>
      <c r="G300" t="str">
        <f>IF($E300="","",IFERROR(INDEX(Ansprechpartner!$C$4:$C$80,MATCH($E300,AP_Namen,0)),""))</f>
        <v/>
      </c>
    </row>
    <row r="301" spans="3:7" ht="15" customHeight="1">
      <c r="C301" t="str">
        <f t="shared" si="5"/>
        <v/>
      </c>
      <c r="F301" t="str">
        <f>IF($E301="","",IFERROR(INDEX(Ansprechpartner!$F$4:$F$80,MATCH($E301,AP_Namen,0)),""))</f>
        <v/>
      </c>
      <c r="G301" t="str">
        <f>IF($E301="","",IFERROR(INDEX(Ansprechpartner!$C$4:$C$80,MATCH($E301,AP_Namen,0)),""))</f>
        <v/>
      </c>
    </row>
    <row r="302" spans="3:7" ht="15" customHeight="1">
      <c r="C302" t="str">
        <f t="shared" si="5"/>
        <v/>
      </c>
      <c r="F302" t="str">
        <f>IF($E302="","",IFERROR(INDEX(Ansprechpartner!$F$4:$F$80,MATCH($E302,AP_Namen,0)),""))</f>
        <v/>
      </c>
      <c r="G302" t="str">
        <f>IF($E302="","",IFERROR(INDEX(Ansprechpartner!$C$4:$C$80,MATCH($E302,AP_Namen,0)),""))</f>
        <v/>
      </c>
    </row>
    <row r="303" spans="3:7" ht="15" customHeight="1">
      <c r="C303" t="str">
        <f t="shared" si="5"/>
        <v/>
      </c>
      <c r="F303" t="str">
        <f>IF($E303="","",IFERROR(INDEX(Ansprechpartner!$F$4:$F$80,MATCH($E303,AP_Namen,0)),""))</f>
        <v/>
      </c>
      <c r="G303" t="str">
        <f>IF($E303="","",IFERROR(INDEX(Ansprechpartner!$C$4:$C$80,MATCH($E303,AP_Namen,0)),""))</f>
        <v/>
      </c>
    </row>
    <row r="304" spans="3:7" ht="15" customHeight="1">
      <c r="C304" t="str">
        <f t="shared" si="5"/>
        <v/>
      </c>
      <c r="F304" t="str">
        <f>IF($E304="","",IFERROR(INDEX(Ansprechpartner!$F$4:$F$80,MATCH($E304,AP_Namen,0)),""))</f>
        <v/>
      </c>
      <c r="G304" t="str">
        <f>IF($E304="","",IFERROR(INDEX(Ansprechpartner!$C$4:$C$80,MATCH($E304,AP_Namen,0)),""))</f>
        <v/>
      </c>
    </row>
    <row r="305" spans="3:7" ht="15" customHeight="1">
      <c r="C305" t="str">
        <f t="shared" si="5"/>
        <v/>
      </c>
      <c r="F305" t="str">
        <f>IF($E305="","",IFERROR(INDEX(Ansprechpartner!$F$4:$F$80,MATCH($E305,AP_Namen,0)),""))</f>
        <v/>
      </c>
      <c r="G305" t="str">
        <f>IF($E305="","",IFERROR(INDEX(Ansprechpartner!$C$4:$C$80,MATCH($E305,AP_Namen,0)),""))</f>
        <v/>
      </c>
    </row>
  </sheetData>
  <autoFilter ref="A4:V35" xr:uid="{00000000-0009-0000-0000-000000000000}"/>
  <mergeCells count="2">
    <mergeCell ref="A3:M3"/>
    <mergeCell ref="N3:V3"/>
  </mergeCells>
  <conditionalFormatting sqref="A5:V305">
    <cfRule type="expression" dxfId="11" priority="2">
      <formula>$U5="Ja"</formula>
    </cfRule>
    <cfRule type="expression" dxfId="10" priority="3">
      <formula>$V5&lt;&gt;""</formula>
    </cfRule>
  </conditionalFormatting>
  <conditionalFormatting sqref="K5:K305">
    <cfRule type="expression" dxfId="9" priority="4">
      <formula>AND($M5&lt;&gt;"",$K5="")</formula>
    </cfRule>
  </conditionalFormatting>
  <conditionalFormatting sqref="L5:L305">
    <cfRule type="expression" dxfId="8" priority="5">
      <formula>AND(ISNUMBER($L5),$L5&gt;1)</formula>
    </cfRule>
  </conditionalFormatting>
  <dataValidations count="7">
    <dataValidation type="list" allowBlank="1" sqref="E5:E305" xr:uid="{00000000-0002-0000-0000-000000000000}">
      <formula1>AP_Namen</formula1>
      <formula2>0</formula2>
    </dataValidation>
    <dataValidation type="list" allowBlank="1" sqref="H5:H305" xr:uid="{00000000-0002-0000-0000-000001000000}">
      <formula1>Strecken_BA1</formula1>
      <formula2>0</formula2>
    </dataValidation>
    <dataValidation type="list" allowBlank="1" sqref="Q5:Q305" xr:uid="{00000000-0002-0000-0000-000002000000}">
      <formula1>Gewerke_Liste</formula1>
      <formula2>0</formula2>
    </dataValidation>
    <dataValidation type="list" allowBlank="1" sqref="R5:R305" xr:uid="{00000000-0002-0000-0000-000003000000}">
      <formula1>Kabeltypen_Liste</formula1>
      <formula2>0</formula2>
    </dataValidation>
    <dataValidation type="list" allowBlank="1" showErrorMessage="1" sqref="U5:U305" xr:uid="{00000000-0002-0000-0000-000004000000}">
      <formula1>"Ja,Nein"</formula1>
      <formula2>0</formula2>
    </dataValidation>
    <dataValidation type="list" allowBlank="1" showErrorMessage="1" sqref="V5:V305" xr:uid="{00000000-0002-0000-0000-000005000000}">
      <formula1>"✔"</formula1>
      <formula2>0</formula2>
    </dataValidation>
    <dataValidation type="whole" operator="greaterThanOrEqual" allowBlank="1" showErrorMessage="1" errorTitle="Anzahl Kabel" error="Bitte eine ganze Zahl ≥ 1 eintragen." sqref="L5:L305" xr:uid="{00000000-0002-0000-0000-000006000000}">
      <formula1>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6"/>
  <sheetViews>
    <sheetView zoomScaleNormal="100" workbookViewId="0">
      <pane ySplit="4" topLeftCell="A5" activePane="bottomLeft" state="frozen"/>
      <selection pane="bottomLeft" activeCell="L11" sqref="L11"/>
    </sheetView>
  </sheetViews>
  <sheetFormatPr defaultColWidth="8.5703125" defaultRowHeight="15"/>
  <cols>
    <col min="1" max="1" width="6" customWidth="1"/>
    <col min="2" max="3" width="11" customWidth="1"/>
    <col min="4" max="4" width="8" customWidth="1"/>
    <col min="5" max="5" width="16" customWidth="1"/>
    <col min="6" max="6" width="14" customWidth="1"/>
    <col min="7" max="7" width="16" customWidth="1"/>
    <col min="8" max="8" width="10" customWidth="1"/>
    <col min="9" max="9" width="16" customWidth="1"/>
    <col min="10" max="11" width="12" customWidth="1"/>
    <col min="12" max="12" width="8" customWidth="1"/>
    <col min="13" max="13" width="46" customWidth="1"/>
    <col min="14" max="15" width="12" customWidth="1"/>
    <col min="16" max="16" width="18" customWidth="1"/>
    <col min="17" max="17" width="24" customWidth="1"/>
    <col min="18" max="19" width="46" customWidth="1"/>
    <col min="20" max="21" width="10" customWidth="1"/>
  </cols>
  <sheetData>
    <row r="1" spans="1:22" ht="17.25" customHeight="1">
      <c r="A1" s="1" t="s">
        <v>223</v>
      </c>
    </row>
    <row r="2" spans="1:22" ht="15" customHeight="1">
      <c r="A2" s="2" t="s">
        <v>96</v>
      </c>
    </row>
    <row r="3" spans="1:22" ht="15" customHeight="1">
      <c r="A3" s="36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 t="s">
        <v>98</v>
      </c>
      <c r="O3" s="37"/>
      <c r="P3" s="37"/>
      <c r="Q3" s="37"/>
      <c r="R3" s="37"/>
      <c r="S3" s="37"/>
      <c r="T3" s="37"/>
      <c r="U3" s="37"/>
      <c r="V3" s="37"/>
    </row>
    <row r="4" spans="1:22" ht="30" customHeight="1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  <c r="M4" s="3" t="s">
        <v>97</v>
      </c>
      <c r="N4" s="4" t="s">
        <v>111</v>
      </c>
      <c r="O4" s="5" t="s">
        <v>112</v>
      </c>
      <c r="P4" s="5" t="s">
        <v>113</v>
      </c>
      <c r="Q4" s="5" t="s">
        <v>114</v>
      </c>
      <c r="R4" s="5" t="s">
        <v>115</v>
      </c>
      <c r="S4" s="5" t="s">
        <v>116</v>
      </c>
      <c r="T4" s="5" t="s">
        <v>117</v>
      </c>
      <c r="U4" s="5" t="s">
        <v>118</v>
      </c>
      <c r="V4" s="5" t="s">
        <v>119</v>
      </c>
    </row>
    <row r="5" spans="1:22" ht="15" customHeight="1">
      <c r="A5" s="6">
        <v>1</v>
      </c>
      <c r="B5" s="7">
        <v>46219</v>
      </c>
      <c r="C5" s="6" t="str">
        <f t="shared" ref="C5:C29" si="0">IF(B5="","",CHOOSE(WEEKDAY(B5,2),"Montag","Dienstag","Mittwoch","Donnerstag","Freitag","Samstag","Sonntag"))</f>
        <v>Donnerstag</v>
      </c>
      <c r="D5" s="8">
        <v>0.78263888888888899</v>
      </c>
      <c r="E5" s="6" t="s">
        <v>224</v>
      </c>
      <c r="F5" s="6" t="s">
        <v>121</v>
      </c>
      <c r="G5" s="6" t="s">
        <v>225</v>
      </c>
      <c r="H5" s="6">
        <v>3507</v>
      </c>
      <c r="I5" s="6" t="s">
        <v>226</v>
      </c>
      <c r="J5" s="6" t="s">
        <v>227</v>
      </c>
      <c r="K5" s="9">
        <v>120.97199999999999</v>
      </c>
      <c r="L5" s="10"/>
      <c r="M5" s="11" t="s">
        <v>228</v>
      </c>
      <c r="N5" s="12">
        <v>46220</v>
      </c>
      <c r="O5" s="8"/>
      <c r="P5" s="6" t="s">
        <v>55</v>
      </c>
      <c r="Q5" s="6"/>
      <c r="R5" s="6"/>
      <c r="S5" s="11" t="s">
        <v>229</v>
      </c>
      <c r="T5" s="11"/>
      <c r="U5" s="10"/>
      <c r="V5" s="10"/>
    </row>
    <row r="6" spans="1:22" ht="15" customHeight="1">
      <c r="A6" s="6">
        <v>2</v>
      </c>
      <c r="B6" s="7">
        <v>46220</v>
      </c>
      <c r="C6" s="6" t="str">
        <f t="shared" si="0"/>
        <v>Freitag</v>
      </c>
      <c r="D6" s="8"/>
      <c r="E6" s="6" t="s">
        <v>230</v>
      </c>
      <c r="F6" s="6" t="s">
        <v>159</v>
      </c>
      <c r="G6" s="6">
        <v>15560701049</v>
      </c>
      <c r="H6" s="6">
        <v>2324</v>
      </c>
      <c r="I6" s="6"/>
      <c r="J6" s="6"/>
      <c r="K6" s="6" t="s">
        <v>231</v>
      </c>
      <c r="L6" s="10"/>
      <c r="M6" s="11" t="s">
        <v>232</v>
      </c>
      <c r="N6" s="12">
        <v>46222</v>
      </c>
      <c r="O6" s="8"/>
      <c r="P6" s="6" t="s">
        <v>55</v>
      </c>
      <c r="Q6" s="6"/>
      <c r="R6" s="6"/>
      <c r="S6" s="11" t="s">
        <v>233</v>
      </c>
      <c r="T6" s="11"/>
      <c r="U6" s="10"/>
      <c r="V6" s="10"/>
    </row>
    <row r="7" spans="1:22" ht="15" customHeight="1">
      <c r="A7" s="6">
        <v>3</v>
      </c>
      <c r="B7" s="7">
        <v>46223</v>
      </c>
      <c r="C7" s="6" t="str">
        <f t="shared" si="0"/>
        <v>Montag</v>
      </c>
      <c r="D7" s="8">
        <v>0.52638888888888902</v>
      </c>
      <c r="E7" s="6" t="s">
        <v>224</v>
      </c>
      <c r="F7" s="6" t="s">
        <v>121</v>
      </c>
      <c r="G7" s="6" t="s">
        <v>225</v>
      </c>
      <c r="H7" s="6">
        <v>3507</v>
      </c>
      <c r="I7" s="6" t="s">
        <v>226</v>
      </c>
      <c r="J7" s="6" t="s">
        <v>227</v>
      </c>
      <c r="K7" s="9">
        <v>120.97199999999999</v>
      </c>
      <c r="L7" s="10"/>
      <c r="M7" s="11" t="s">
        <v>234</v>
      </c>
      <c r="N7" s="12">
        <v>46223</v>
      </c>
      <c r="O7" s="8"/>
      <c r="P7" s="6" t="s">
        <v>66</v>
      </c>
      <c r="Q7" s="6"/>
      <c r="R7" s="6"/>
      <c r="S7" s="11" t="s">
        <v>235</v>
      </c>
      <c r="T7" s="11"/>
      <c r="U7" s="10"/>
      <c r="V7" s="10"/>
    </row>
    <row r="8" spans="1:22" ht="15" customHeight="1">
      <c r="A8" s="6">
        <v>4</v>
      </c>
      <c r="B8" s="7">
        <v>46224</v>
      </c>
      <c r="C8" s="6" t="str">
        <f t="shared" si="0"/>
        <v>Dienstag</v>
      </c>
      <c r="D8" s="8"/>
      <c r="E8" s="6" t="s">
        <v>236</v>
      </c>
      <c r="F8" s="6" t="s">
        <v>121</v>
      </c>
      <c r="G8" s="6" t="s">
        <v>237</v>
      </c>
      <c r="H8" s="6">
        <v>3507</v>
      </c>
      <c r="I8" s="6" t="s">
        <v>238</v>
      </c>
      <c r="J8" s="6" t="s">
        <v>239</v>
      </c>
      <c r="K8" s="6"/>
      <c r="L8" s="10"/>
      <c r="M8" s="11" t="s">
        <v>240</v>
      </c>
      <c r="N8" s="12"/>
      <c r="O8" s="8"/>
      <c r="P8" s="6"/>
      <c r="Q8" s="6"/>
      <c r="R8" s="6"/>
      <c r="S8" s="11"/>
      <c r="T8" s="11"/>
      <c r="U8" s="10"/>
      <c r="V8" s="10"/>
    </row>
    <row r="9" spans="1:22" ht="15" customHeight="1">
      <c r="A9" s="6">
        <v>5</v>
      </c>
      <c r="B9" s="7">
        <v>46225</v>
      </c>
      <c r="C9" s="6" t="str">
        <f t="shared" si="0"/>
        <v>Mittwoch</v>
      </c>
      <c r="D9" s="8">
        <v>0.33333333333333298</v>
      </c>
      <c r="E9" s="6" t="s">
        <v>241</v>
      </c>
      <c r="F9" s="6" t="s">
        <v>242</v>
      </c>
      <c r="G9" s="6">
        <f>IF($E9="","",IFERROR(INDEX(Ansprechpartner!$C$4:$C$80,MATCH($E9,AP_Namen,0)),""))</f>
        <v>0</v>
      </c>
      <c r="H9" s="6">
        <v>2324</v>
      </c>
      <c r="I9" s="6"/>
      <c r="J9" s="6"/>
      <c r="K9" s="6"/>
      <c r="L9" s="10"/>
      <c r="M9" s="11" t="s">
        <v>240</v>
      </c>
      <c r="N9" s="12"/>
      <c r="O9" s="8"/>
      <c r="P9" s="6"/>
      <c r="Q9" s="6"/>
      <c r="R9" s="6"/>
      <c r="S9" s="11"/>
      <c r="T9" s="11"/>
      <c r="U9" s="10"/>
      <c r="V9" s="10"/>
    </row>
    <row r="10" spans="1:22" ht="15" customHeight="1">
      <c r="A10" s="6">
        <v>6</v>
      </c>
      <c r="B10" s="7">
        <v>46226</v>
      </c>
      <c r="C10" s="6" t="str">
        <f t="shared" si="0"/>
        <v>Donnerstag</v>
      </c>
      <c r="D10" s="8">
        <v>0.34652777777777799</v>
      </c>
      <c r="E10" s="6" t="s">
        <v>243</v>
      </c>
      <c r="F10" s="6" t="s">
        <v>121</v>
      </c>
      <c r="G10" s="6" t="s">
        <v>244</v>
      </c>
      <c r="H10" s="6">
        <v>2324</v>
      </c>
      <c r="I10" s="6"/>
      <c r="J10" s="6"/>
      <c r="K10" s="9">
        <v>118</v>
      </c>
      <c r="L10" s="10"/>
      <c r="M10" s="11" t="s">
        <v>245</v>
      </c>
      <c r="N10" s="12">
        <v>46226</v>
      </c>
      <c r="O10" s="8"/>
      <c r="P10" s="6" t="s">
        <v>236</v>
      </c>
      <c r="Q10" s="6"/>
      <c r="R10" s="6"/>
      <c r="S10" s="11" t="s">
        <v>246</v>
      </c>
      <c r="T10" s="11"/>
      <c r="U10" s="10"/>
      <c r="V10" s="10"/>
    </row>
    <row r="11" spans="1:22" ht="15" customHeight="1">
      <c r="A11" s="6">
        <v>7</v>
      </c>
      <c r="B11" s="7">
        <v>46238</v>
      </c>
      <c r="C11" s="6" t="str">
        <f t="shared" si="0"/>
        <v>Dienstag</v>
      </c>
      <c r="D11" s="8">
        <v>0.44027777777777799</v>
      </c>
      <c r="E11" s="6" t="s">
        <v>236</v>
      </c>
      <c r="F11" s="6" t="s">
        <v>247</v>
      </c>
      <c r="G11" s="6" t="s">
        <v>248</v>
      </c>
      <c r="H11" s="6">
        <v>3507</v>
      </c>
      <c r="I11" s="6" t="s">
        <v>238</v>
      </c>
      <c r="J11" s="6"/>
      <c r="K11" s="9">
        <v>121</v>
      </c>
      <c r="L11" s="10"/>
      <c r="M11" s="11" t="s">
        <v>249</v>
      </c>
      <c r="N11" s="12">
        <v>46238</v>
      </c>
      <c r="O11" s="8">
        <v>0.44444444444444398</v>
      </c>
      <c r="P11" s="6" t="s">
        <v>66</v>
      </c>
      <c r="Q11" s="6"/>
      <c r="R11" s="6"/>
      <c r="S11" s="11" t="s">
        <v>250</v>
      </c>
      <c r="T11" s="11"/>
      <c r="U11" s="10"/>
      <c r="V11" s="10"/>
    </row>
    <row r="12" spans="1:22" ht="27.75" customHeight="1">
      <c r="A12" s="6">
        <v>8</v>
      </c>
      <c r="B12" s="7">
        <v>46225</v>
      </c>
      <c r="C12" s="6" t="str">
        <f t="shared" si="0"/>
        <v>Mittwoch</v>
      </c>
      <c r="D12" s="8">
        <v>0.59652777777777799</v>
      </c>
      <c r="E12" s="6" t="s">
        <v>236</v>
      </c>
      <c r="F12" s="6" t="s">
        <v>247</v>
      </c>
      <c r="G12" s="6" t="s">
        <v>248</v>
      </c>
      <c r="H12" s="6"/>
      <c r="I12" s="6" t="s">
        <v>238</v>
      </c>
      <c r="J12" s="6"/>
      <c r="K12" s="9">
        <v>122.5</v>
      </c>
      <c r="L12" s="10"/>
      <c r="M12" s="11" t="s">
        <v>251</v>
      </c>
      <c r="N12" s="12"/>
      <c r="O12" s="8"/>
      <c r="P12" s="6"/>
      <c r="Q12" s="6"/>
      <c r="R12" s="6"/>
      <c r="S12" s="11" t="s">
        <v>252</v>
      </c>
      <c r="T12" s="11"/>
      <c r="U12" s="10"/>
      <c r="V12" s="10"/>
    </row>
    <row r="13" spans="1:22" ht="27.75" customHeight="1">
      <c r="A13" s="6">
        <v>9</v>
      </c>
      <c r="B13" s="7">
        <v>46226</v>
      </c>
      <c r="C13" s="6" t="str">
        <f t="shared" si="0"/>
        <v>Donnerstag</v>
      </c>
      <c r="D13" s="8">
        <v>0.43402777777777801</v>
      </c>
      <c r="E13" s="6" t="s">
        <v>236</v>
      </c>
      <c r="F13" s="6" t="s">
        <v>247</v>
      </c>
      <c r="G13" s="6" t="s">
        <v>248</v>
      </c>
      <c r="H13" s="6"/>
      <c r="I13" s="6" t="s">
        <v>253</v>
      </c>
      <c r="J13" s="6"/>
      <c r="K13" s="9">
        <v>94.1</v>
      </c>
      <c r="L13" s="10"/>
      <c r="M13" s="11" t="s">
        <v>254</v>
      </c>
      <c r="N13" s="12"/>
      <c r="O13" s="8"/>
      <c r="P13" s="6"/>
      <c r="Q13" s="6"/>
      <c r="R13" s="6"/>
      <c r="S13" s="11" t="s">
        <v>255</v>
      </c>
      <c r="T13" s="11"/>
      <c r="U13" s="10"/>
      <c r="V13" s="10"/>
    </row>
    <row r="14" spans="1:22" ht="41.25" customHeight="1">
      <c r="A14" s="6">
        <v>10</v>
      </c>
      <c r="B14" s="7">
        <v>46226</v>
      </c>
      <c r="C14" s="6" t="str">
        <f t="shared" si="0"/>
        <v>Donnerstag</v>
      </c>
      <c r="D14" s="8">
        <v>0.44513888888888897</v>
      </c>
      <c r="E14" s="6" t="s">
        <v>236</v>
      </c>
      <c r="F14" s="6" t="s">
        <v>247</v>
      </c>
      <c r="G14" s="6" t="s">
        <v>248</v>
      </c>
      <c r="H14" s="6"/>
      <c r="I14" s="6" t="s">
        <v>238</v>
      </c>
      <c r="J14" s="6"/>
      <c r="K14" s="9">
        <v>122.3</v>
      </c>
      <c r="L14" s="10"/>
      <c r="M14" s="11" t="s">
        <v>256</v>
      </c>
      <c r="N14" s="12"/>
      <c r="O14" s="8"/>
      <c r="P14" s="6"/>
      <c r="Q14" s="6"/>
      <c r="R14" s="6"/>
      <c r="S14" s="11" t="s">
        <v>257</v>
      </c>
      <c r="T14" s="11"/>
      <c r="U14" s="10"/>
      <c r="V14" s="10"/>
    </row>
    <row r="15" spans="1:22" ht="27.75" customHeight="1">
      <c r="A15" s="6">
        <v>11</v>
      </c>
      <c r="B15" s="7">
        <v>46226</v>
      </c>
      <c r="C15" s="6" t="str">
        <f t="shared" si="0"/>
        <v>Donnerstag</v>
      </c>
      <c r="D15" s="8">
        <v>0.55833333333333302</v>
      </c>
      <c r="E15" s="6" t="s">
        <v>236</v>
      </c>
      <c r="F15" s="6" t="s">
        <v>247</v>
      </c>
      <c r="G15" s="6" t="s">
        <v>248</v>
      </c>
      <c r="H15" s="6"/>
      <c r="I15" s="6" t="s">
        <v>258</v>
      </c>
      <c r="J15" s="6"/>
      <c r="K15" s="9">
        <v>100.9</v>
      </c>
      <c r="L15" s="10"/>
      <c r="M15" s="11" t="s">
        <v>259</v>
      </c>
      <c r="N15" s="12"/>
      <c r="O15" s="8"/>
      <c r="P15" s="6"/>
      <c r="Q15" s="6"/>
      <c r="R15" s="6"/>
      <c r="S15" s="11" t="s">
        <v>260</v>
      </c>
      <c r="T15" s="11"/>
      <c r="U15" s="10"/>
      <c r="V15" s="10"/>
    </row>
    <row r="16" spans="1:22" ht="41.25" customHeight="1">
      <c r="A16" s="6">
        <v>12</v>
      </c>
      <c r="B16" s="7">
        <v>46227</v>
      </c>
      <c r="C16" s="6" t="str">
        <f t="shared" si="0"/>
        <v>Freitag</v>
      </c>
      <c r="D16" s="8">
        <v>0.452083333333333</v>
      </c>
      <c r="E16" s="6" t="s">
        <v>236</v>
      </c>
      <c r="F16" s="6" t="s">
        <v>247</v>
      </c>
      <c r="G16" s="6" t="s">
        <v>248</v>
      </c>
      <c r="H16" s="6"/>
      <c r="I16" s="6" t="s">
        <v>238</v>
      </c>
      <c r="J16" s="6"/>
      <c r="K16" s="9">
        <v>121</v>
      </c>
      <c r="L16" s="10"/>
      <c r="M16" s="11" t="s">
        <v>261</v>
      </c>
      <c r="N16" s="12"/>
      <c r="O16" s="8"/>
      <c r="P16" s="6"/>
      <c r="Q16" s="6"/>
      <c r="R16" s="6"/>
      <c r="S16" s="11" t="s">
        <v>262</v>
      </c>
      <c r="T16" s="11"/>
      <c r="U16" s="10"/>
      <c r="V16" s="10"/>
    </row>
    <row r="17" spans="1:22" ht="27.75" customHeight="1">
      <c r="A17" s="6">
        <v>13</v>
      </c>
      <c r="B17" s="7">
        <v>46227</v>
      </c>
      <c r="C17" s="6" t="str">
        <f t="shared" si="0"/>
        <v>Freitag</v>
      </c>
      <c r="D17" s="8">
        <v>0.45555555555555599</v>
      </c>
      <c r="E17" s="6" t="s">
        <v>236</v>
      </c>
      <c r="F17" s="6" t="s">
        <v>247</v>
      </c>
      <c r="G17" s="6" t="s">
        <v>248</v>
      </c>
      <c r="H17" s="6"/>
      <c r="I17" s="6" t="s">
        <v>238</v>
      </c>
      <c r="J17" s="6"/>
      <c r="K17" s="9">
        <v>121.4</v>
      </c>
      <c r="L17" s="10"/>
      <c r="M17" s="11" t="s">
        <v>256</v>
      </c>
      <c r="N17" s="12"/>
      <c r="O17" s="8"/>
      <c r="P17" s="6"/>
      <c r="Q17" s="6"/>
      <c r="R17" s="6"/>
      <c r="S17" s="11" t="s">
        <v>255</v>
      </c>
      <c r="T17" s="11"/>
      <c r="U17" s="10"/>
      <c r="V17" s="10"/>
    </row>
    <row r="18" spans="1:22" ht="27.75" customHeight="1">
      <c r="A18" s="6">
        <v>14</v>
      </c>
      <c r="B18" s="7">
        <v>46227</v>
      </c>
      <c r="C18" s="6" t="str">
        <f t="shared" si="0"/>
        <v>Freitag</v>
      </c>
      <c r="D18" s="8">
        <v>0.45763888888888898</v>
      </c>
      <c r="E18" s="6" t="s">
        <v>236</v>
      </c>
      <c r="F18" s="6" t="s">
        <v>247</v>
      </c>
      <c r="G18" s="6" t="s">
        <v>248</v>
      </c>
      <c r="H18" s="6"/>
      <c r="I18" s="6" t="s">
        <v>238</v>
      </c>
      <c r="J18" s="6"/>
      <c r="K18" s="9">
        <v>122</v>
      </c>
      <c r="L18" s="10"/>
      <c r="M18" s="11" t="s">
        <v>256</v>
      </c>
      <c r="N18" s="12"/>
      <c r="O18" s="8"/>
      <c r="P18" s="6"/>
      <c r="Q18" s="6"/>
      <c r="R18" s="6"/>
      <c r="S18" s="11" t="s">
        <v>263</v>
      </c>
      <c r="T18" s="11"/>
      <c r="U18" s="10"/>
      <c r="V18" s="10"/>
    </row>
    <row r="19" spans="1:22" ht="27.75" customHeight="1">
      <c r="A19" s="6">
        <v>15</v>
      </c>
      <c r="B19" s="7">
        <v>46228</v>
      </c>
      <c r="C19" s="6" t="str">
        <f t="shared" si="0"/>
        <v>Samstag</v>
      </c>
      <c r="D19" s="8">
        <v>0.45555555555555599</v>
      </c>
      <c r="E19" s="6" t="s">
        <v>264</v>
      </c>
      <c r="F19" s="6" t="s">
        <v>247</v>
      </c>
      <c r="G19" s="6" t="s">
        <v>248</v>
      </c>
      <c r="H19" s="6"/>
      <c r="I19" s="6" t="s">
        <v>238</v>
      </c>
      <c r="J19" s="6"/>
      <c r="K19" s="9">
        <v>121.4</v>
      </c>
      <c r="L19" s="10"/>
      <c r="M19" s="11" t="s">
        <v>265</v>
      </c>
      <c r="N19" s="12"/>
      <c r="O19" s="8"/>
      <c r="P19" s="6"/>
      <c r="Q19" s="6"/>
      <c r="R19" s="6"/>
      <c r="S19" s="11" t="s">
        <v>266</v>
      </c>
      <c r="T19" s="11"/>
      <c r="U19" s="10"/>
      <c r="V19" s="10"/>
    </row>
    <row r="20" spans="1:22" ht="27.75" customHeight="1">
      <c r="A20" s="6">
        <v>16</v>
      </c>
      <c r="B20" s="7">
        <v>46228</v>
      </c>
      <c r="C20" s="6" t="str">
        <f t="shared" si="0"/>
        <v>Samstag</v>
      </c>
      <c r="D20" s="8">
        <v>0.45763888888888898</v>
      </c>
      <c r="E20" s="6" t="s">
        <v>236</v>
      </c>
      <c r="F20" s="6" t="s">
        <v>247</v>
      </c>
      <c r="G20" s="6" t="s">
        <v>248</v>
      </c>
      <c r="H20" s="6"/>
      <c r="I20" s="6" t="s">
        <v>238</v>
      </c>
      <c r="J20" s="6"/>
      <c r="K20" s="9">
        <v>122.5</v>
      </c>
      <c r="L20" s="10"/>
      <c r="M20" s="11" t="s">
        <v>267</v>
      </c>
      <c r="N20" s="12"/>
      <c r="O20" s="8"/>
      <c r="P20" s="6"/>
      <c r="Q20" s="6"/>
      <c r="R20" s="6"/>
      <c r="S20" s="11" t="s">
        <v>268</v>
      </c>
      <c r="T20" s="11"/>
      <c r="U20" s="10"/>
      <c r="V20" s="10"/>
    </row>
    <row r="21" spans="1:22" ht="27.75" customHeight="1">
      <c r="A21" s="6">
        <v>17</v>
      </c>
      <c r="B21" s="7">
        <v>46230</v>
      </c>
      <c r="C21" s="6" t="str">
        <f t="shared" si="0"/>
        <v>Montag</v>
      </c>
      <c r="D21" s="8">
        <v>0.45763888888888898</v>
      </c>
      <c r="E21" s="6" t="s">
        <v>236</v>
      </c>
      <c r="F21" s="6" t="s">
        <v>247</v>
      </c>
      <c r="G21" s="6" t="s">
        <v>248</v>
      </c>
      <c r="H21" s="6"/>
      <c r="I21" s="6" t="s">
        <v>238</v>
      </c>
      <c r="J21" s="6"/>
      <c r="K21" s="9">
        <v>121.85</v>
      </c>
      <c r="L21" s="10"/>
      <c r="M21" s="11" t="s">
        <v>267</v>
      </c>
      <c r="N21" s="12"/>
      <c r="O21" s="8"/>
      <c r="P21" s="6"/>
      <c r="Q21" s="6"/>
      <c r="R21" s="6"/>
      <c r="S21" s="11" t="s">
        <v>269</v>
      </c>
      <c r="T21" s="11"/>
      <c r="U21" s="10"/>
      <c r="V21" s="10"/>
    </row>
    <row r="22" spans="1:22" ht="27.75" customHeight="1">
      <c r="A22" s="6">
        <v>18</v>
      </c>
      <c r="B22" s="7">
        <v>46231</v>
      </c>
      <c r="C22" s="6" t="str">
        <f t="shared" si="0"/>
        <v>Dienstag</v>
      </c>
      <c r="D22" s="8">
        <v>0.34652777777777799</v>
      </c>
      <c r="E22" s="6" t="s">
        <v>236</v>
      </c>
      <c r="F22" s="6" t="s">
        <v>247</v>
      </c>
      <c r="G22" s="6" t="s">
        <v>248</v>
      </c>
      <c r="H22" s="6"/>
      <c r="I22" s="6" t="s">
        <v>270</v>
      </c>
      <c r="J22" s="6" t="s">
        <v>227</v>
      </c>
      <c r="K22" s="9">
        <v>120.9</v>
      </c>
      <c r="L22" s="10"/>
      <c r="M22" s="11" t="s">
        <v>271</v>
      </c>
      <c r="N22" s="12"/>
      <c r="O22" s="8"/>
      <c r="P22" s="6"/>
      <c r="Q22" s="6"/>
      <c r="R22" s="6"/>
      <c r="S22" s="11" t="s">
        <v>272</v>
      </c>
      <c r="T22" s="11"/>
      <c r="U22" s="10"/>
      <c r="V22" s="10"/>
    </row>
    <row r="23" spans="1:22" ht="27.75" customHeight="1">
      <c r="A23" s="6">
        <v>19</v>
      </c>
      <c r="B23" s="7">
        <v>46232</v>
      </c>
      <c r="C23" s="6" t="str">
        <f t="shared" si="0"/>
        <v>Mittwoch</v>
      </c>
      <c r="D23" s="8">
        <v>0.34513888888888899</v>
      </c>
      <c r="E23" s="6" t="s">
        <v>236</v>
      </c>
      <c r="F23" s="6" t="s">
        <v>247</v>
      </c>
      <c r="G23" s="6" t="s">
        <v>248</v>
      </c>
      <c r="H23" s="6"/>
      <c r="I23" s="6" t="s">
        <v>273</v>
      </c>
      <c r="J23" s="6"/>
      <c r="K23" s="9">
        <v>109.2</v>
      </c>
      <c r="L23" s="10"/>
      <c r="M23" s="11" t="s">
        <v>274</v>
      </c>
      <c r="N23" s="12"/>
      <c r="O23" s="8"/>
      <c r="P23" s="6"/>
      <c r="Q23" s="6"/>
      <c r="R23" s="6"/>
      <c r="S23" s="11" t="s">
        <v>275</v>
      </c>
      <c r="T23" s="11"/>
      <c r="U23" s="10"/>
      <c r="V23" s="10"/>
    </row>
    <row r="24" spans="1:22" ht="27.75" customHeight="1">
      <c r="A24" s="6">
        <v>20</v>
      </c>
      <c r="B24" s="7">
        <v>46233</v>
      </c>
      <c r="C24" s="6" t="str">
        <f t="shared" si="0"/>
        <v>Donnerstag</v>
      </c>
      <c r="D24" s="8">
        <v>0.44722222222222202</v>
      </c>
      <c r="E24" s="6" t="s">
        <v>236</v>
      </c>
      <c r="F24" s="6" t="s">
        <v>247</v>
      </c>
      <c r="G24" s="6" t="s">
        <v>248</v>
      </c>
      <c r="H24" s="6"/>
      <c r="I24" s="6" t="s">
        <v>276</v>
      </c>
      <c r="J24" s="6"/>
      <c r="K24" s="9">
        <v>106.1</v>
      </c>
      <c r="L24" s="10"/>
      <c r="M24" s="11" t="s">
        <v>261</v>
      </c>
      <c r="N24" s="12"/>
      <c r="O24" s="8"/>
      <c r="P24" s="6"/>
      <c r="Q24" s="6"/>
      <c r="R24" s="6"/>
      <c r="S24" s="11" t="s">
        <v>277</v>
      </c>
      <c r="T24" s="11"/>
      <c r="U24" s="10"/>
      <c r="V24" s="10" t="s">
        <v>129</v>
      </c>
    </row>
    <row r="25" spans="1:22" ht="41.25" customHeight="1">
      <c r="A25" s="6">
        <v>21</v>
      </c>
      <c r="B25" s="7">
        <v>46233</v>
      </c>
      <c r="C25" s="6" t="str">
        <f t="shared" si="0"/>
        <v>Donnerstag</v>
      </c>
      <c r="D25" s="8">
        <v>0.58055555555555605</v>
      </c>
      <c r="E25" s="6" t="s">
        <v>236</v>
      </c>
      <c r="F25" s="6" t="s">
        <v>247</v>
      </c>
      <c r="G25" s="6" t="s">
        <v>248</v>
      </c>
      <c r="H25" s="6"/>
      <c r="I25" s="6" t="s">
        <v>273</v>
      </c>
      <c r="J25" s="6"/>
      <c r="K25" s="9">
        <v>109.2</v>
      </c>
      <c r="L25" s="10"/>
      <c r="M25" s="11" t="s">
        <v>278</v>
      </c>
      <c r="N25" s="12"/>
      <c r="O25" s="8"/>
      <c r="P25" s="6"/>
      <c r="Q25" s="6"/>
      <c r="R25" s="6"/>
      <c r="S25" s="11" t="s">
        <v>279</v>
      </c>
      <c r="T25" s="11"/>
      <c r="U25" s="10"/>
      <c r="V25" s="10"/>
    </row>
    <row r="26" spans="1:22" ht="27.75" customHeight="1">
      <c r="A26" s="6">
        <v>22</v>
      </c>
      <c r="B26" s="7">
        <v>46234</v>
      </c>
      <c r="C26" s="6" t="str">
        <f t="shared" si="0"/>
        <v>Freitag</v>
      </c>
      <c r="D26" s="8">
        <v>0.344444444444444</v>
      </c>
      <c r="E26" s="6" t="s">
        <v>236</v>
      </c>
      <c r="F26" s="6" t="s">
        <v>247</v>
      </c>
      <c r="G26" s="6" t="s">
        <v>248</v>
      </c>
      <c r="H26" s="6"/>
      <c r="I26" s="6" t="s">
        <v>280</v>
      </c>
      <c r="J26" s="6"/>
      <c r="K26" s="9">
        <v>116.6</v>
      </c>
      <c r="L26" s="10"/>
      <c r="M26" s="11" t="s">
        <v>256</v>
      </c>
      <c r="N26" s="12"/>
      <c r="O26" s="8"/>
      <c r="P26" s="6"/>
      <c r="Q26" s="6"/>
      <c r="R26" s="6"/>
      <c r="S26" s="11"/>
      <c r="T26" s="11"/>
      <c r="U26" s="10"/>
      <c r="V26" s="10"/>
    </row>
    <row r="27" spans="1:22" ht="27.75" customHeight="1">
      <c r="A27" s="6">
        <v>23</v>
      </c>
      <c r="B27" s="7">
        <v>46234</v>
      </c>
      <c r="C27" s="6" t="str">
        <f t="shared" si="0"/>
        <v>Freitag</v>
      </c>
      <c r="D27" s="8">
        <v>0.34513888888888899</v>
      </c>
      <c r="E27" s="6" t="s">
        <v>236</v>
      </c>
      <c r="F27" s="6" t="s">
        <v>247</v>
      </c>
      <c r="G27" s="6" t="s">
        <v>248</v>
      </c>
      <c r="H27" s="6"/>
      <c r="I27" s="6" t="s">
        <v>280</v>
      </c>
      <c r="J27" s="6"/>
      <c r="K27" s="9">
        <v>116.7</v>
      </c>
      <c r="L27" s="10"/>
      <c r="M27" s="11" t="s">
        <v>256</v>
      </c>
      <c r="N27" s="12"/>
      <c r="O27" s="8"/>
      <c r="P27" s="6"/>
      <c r="Q27" s="6"/>
      <c r="R27" s="6"/>
      <c r="S27" s="11"/>
      <c r="T27" s="11"/>
      <c r="U27" s="10"/>
      <c r="V27" s="10"/>
    </row>
    <row r="28" spans="1:22" ht="27.75" customHeight="1">
      <c r="A28" s="6">
        <v>24</v>
      </c>
      <c r="B28" s="7">
        <v>46234</v>
      </c>
      <c r="C28" s="6" t="str">
        <f t="shared" si="0"/>
        <v>Freitag</v>
      </c>
      <c r="D28" s="8">
        <v>0.35138888888888897</v>
      </c>
      <c r="E28" s="6" t="s">
        <v>236</v>
      </c>
      <c r="F28" s="6" t="s">
        <v>247</v>
      </c>
      <c r="G28" s="6" t="s">
        <v>248</v>
      </c>
      <c r="H28" s="6"/>
      <c r="I28" s="6" t="s">
        <v>276</v>
      </c>
      <c r="J28" s="6"/>
      <c r="K28" s="9">
        <v>108.834</v>
      </c>
      <c r="L28" s="10"/>
      <c r="M28" s="11" t="s">
        <v>281</v>
      </c>
      <c r="N28" s="12"/>
      <c r="O28" s="8"/>
      <c r="P28" s="6"/>
      <c r="Q28" s="6"/>
      <c r="R28" s="6"/>
      <c r="S28" s="11"/>
      <c r="T28" s="11"/>
      <c r="U28" s="10"/>
      <c r="V28" s="10"/>
    </row>
    <row r="29" spans="1:22" ht="27.75" customHeight="1">
      <c r="A29" s="6">
        <v>25</v>
      </c>
      <c r="B29" s="7">
        <v>46240</v>
      </c>
      <c r="C29" s="6" t="str">
        <f t="shared" si="0"/>
        <v>Donnerstag</v>
      </c>
      <c r="D29" s="8">
        <v>0.39861111111111103</v>
      </c>
      <c r="E29" s="6" t="s">
        <v>236</v>
      </c>
      <c r="F29" s="6" t="s">
        <v>247</v>
      </c>
      <c r="G29" s="6" t="s">
        <v>248</v>
      </c>
      <c r="H29" s="6"/>
      <c r="I29" s="6" t="s">
        <v>238</v>
      </c>
      <c r="J29" s="6"/>
      <c r="K29" s="9">
        <v>121.351</v>
      </c>
      <c r="L29" s="10"/>
      <c r="M29" s="11" t="s">
        <v>282</v>
      </c>
      <c r="N29" s="12"/>
      <c r="O29" s="8"/>
      <c r="P29" s="6"/>
      <c r="Q29" s="6"/>
      <c r="R29" s="6"/>
      <c r="S29" s="11"/>
      <c r="T29" s="11"/>
      <c r="U29" s="10"/>
      <c r="V29" s="10"/>
    </row>
    <row r="30" spans="1:22" ht="27.75" customHeight="1">
      <c r="A30" s="6"/>
      <c r="B30" s="7"/>
      <c r="C30" s="6"/>
      <c r="D30" s="8"/>
      <c r="E30" s="6"/>
      <c r="F30" s="6" t="str">
        <f>IF($E30="","",IFERROR(INDEX(Ansprechpartner!$F$4:$F$80,MATCH($E30,AP_Namen,0)),""))</f>
        <v/>
      </c>
      <c r="G30" s="6" t="str">
        <f>IF($E30="","",IFERROR(INDEX(Ansprechpartner!$C$4:$C$80,MATCH($E30,AP_Namen,0)),""))</f>
        <v/>
      </c>
      <c r="H30" s="6"/>
      <c r="I30" s="6"/>
      <c r="J30" s="6"/>
      <c r="K30" s="9"/>
      <c r="L30" s="10"/>
      <c r="M30" s="11"/>
      <c r="N30" s="12"/>
      <c r="O30" s="8"/>
      <c r="P30" s="6"/>
      <c r="Q30" s="6"/>
      <c r="R30" s="6"/>
      <c r="S30" s="11"/>
      <c r="T30" s="11"/>
      <c r="U30" s="10"/>
      <c r="V30" s="10"/>
    </row>
    <row r="31" spans="1:22" ht="27.75" customHeight="1">
      <c r="A31" s="6"/>
      <c r="B31" s="7"/>
      <c r="C31" s="6"/>
      <c r="D31" s="8"/>
      <c r="E31" s="6"/>
      <c r="F31" s="6" t="str">
        <f>IF($E31="","",IFERROR(INDEX(Ansprechpartner!$F$4:$F$80,MATCH($E31,AP_Namen,0)),""))</f>
        <v/>
      </c>
      <c r="G31" s="6" t="str">
        <f>IF($E31="","",IFERROR(INDEX(Ansprechpartner!$C$4:$C$80,MATCH($E31,AP_Namen,0)),""))</f>
        <v/>
      </c>
      <c r="H31" s="6"/>
      <c r="I31" s="6"/>
      <c r="J31" s="6"/>
      <c r="K31" s="9"/>
      <c r="L31" s="10"/>
      <c r="M31" s="11"/>
      <c r="N31" s="12"/>
      <c r="O31" s="8"/>
      <c r="P31" s="6"/>
      <c r="Q31" s="6"/>
      <c r="R31" s="6"/>
      <c r="S31" s="11"/>
      <c r="T31" s="11"/>
      <c r="U31" s="10"/>
      <c r="V31" s="10"/>
    </row>
    <row r="32" spans="1:22" ht="27.75" customHeight="1">
      <c r="A32" s="6"/>
      <c r="B32" s="7"/>
      <c r="C32" s="6"/>
      <c r="D32" s="8"/>
      <c r="E32" s="6"/>
      <c r="F32" s="6" t="str">
        <f>IF($E32="","",IFERROR(INDEX(Ansprechpartner!$F$4:$F$80,MATCH($E32,AP_Namen,0)),""))</f>
        <v/>
      </c>
      <c r="G32" s="6" t="str">
        <f>IF($E32="","",IFERROR(INDEX(Ansprechpartner!$C$4:$C$80,MATCH($E32,AP_Namen,0)),""))</f>
        <v/>
      </c>
      <c r="H32" s="6"/>
      <c r="I32" s="6"/>
      <c r="J32" s="6"/>
      <c r="K32" s="9"/>
      <c r="L32" s="10"/>
      <c r="M32" s="11"/>
      <c r="N32" s="12"/>
      <c r="O32" s="8"/>
      <c r="P32" s="6"/>
      <c r="Q32" s="6"/>
      <c r="R32" s="6"/>
      <c r="S32" s="11"/>
      <c r="T32" s="11"/>
      <c r="U32" s="10"/>
      <c r="V32" s="10"/>
    </row>
    <row r="33" spans="1:22" ht="15" customHeight="1">
      <c r="A33" s="6"/>
      <c r="B33" s="7"/>
      <c r="C33" s="6"/>
      <c r="D33" s="8"/>
      <c r="E33" s="6"/>
      <c r="F33" s="6" t="str">
        <f>IF($E33="","",IFERROR(INDEX(Ansprechpartner!$F$4:$F$80,MATCH($E33,AP_Namen,0)),""))</f>
        <v/>
      </c>
      <c r="G33" s="6" t="str">
        <f>IF($E33="","",IFERROR(INDEX(Ansprechpartner!$C$4:$C$80,MATCH($E33,AP_Namen,0)),""))</f>
        <v/>
      </c>
      <c r="H33" s="6"/>
      <c r="I33" s="6"/>
      <c r="J33" s="6"/>
      <c r="K33" s="6"/>
      <c r="L33" s="10"/>
      <c r="M33" s="11"/>
      <c r="N33" s="12"/>
      <c r="O33" s="8"/>
      <c r="P33" s="6"/>
      <c r="Q33" s="6"/>
      <c r="R33" s="6"/>
      <c r="S33" s="11"/>
      <c r="T33" s="11"/>
      <c r="U33" s="10"/>
      <c r="V33" s="10"/>
    </row>
    <row r="34" spans="1:22" ht="15" customHeight="1">
      <c r="A34" s="6"/>
      <c r="B34" s="7"/>
      <c r="C34" s="6"/>
      <c r="D34" s="8"/>
      <c r="E34" s="6"/>
      <c r="F34" s="6" t="str">
        <f>IF($E34="","",IFERROR(INDEX(Ansprechpartner!$F$4:$F$80,MATCH($E34,AP_Namen,0)),""))</f>
        <v/>
      </c>
      <c r="G34" s="6" t="str">
        <f>IF($E34="","",IFERROR(INDEX(Ansprechpartner!$C$4:$C$80,MATCH($E34,AP_Namen,0)),""))</f>
        <v/>
      </c>
      <c r="H34" s="6"/>
      <c r="I34" s="6"/>
      <c r="J34" s="6"/>
      <c r="K34" s="6"/>
      <c r="L34" s="10"/>
      <c r="M34" s="11"/>
      <c r="N34" s="12"/>
      <c r="O34" s="8"/>
      <c r="P34" s="6"/>
      <c r="Q34" s="6"/>
      <c r="R34" s="6"/>
      <c r="S34" s="11"/>
      <c r="T34" s="11"/>
      <c r="U34" s="10"/>
      <c r="V34" s="10"/>
    </row>
    <row r="35" spans="1:22" ht="15" customHeight="1">
      <c r="A35" s="6"/>
      <c r="B35" s="7"/>
      <c r="C35" s="6"/>
      <c r="D35" s="8"/>
      <c r="E35" s="6"/>
      <c r="F35" s="6" t="str">
        <f>IF($E35="","",IFERROR(INDEX(Ansprechpartner!$F$4:$F$80,MATCH($E35,AP_Namen,0)),""))</f>
        <v/>
      </c>
      <c r="G35" s="6" t="str">
        <f>IF($E35="","",IFERROR(INDEX(Ansprechpartner!$C$4:$C$80,MATCH($E35,AP_Namen,0)),""))</f>
        <v/>
      </c>
      <c r="H35" s="6"/>
      <c r="I35" s="6"/>
      <c r="J35" s="6"/>
      <c r="K35" s="6"/>
      <c r="L35" s="10"/>
      <c r="M35" s="11"/>
      <c r="N35" s="12"/>
      <c r="O35" s="8"/>
      <c r="P35" s="6"/>
      <c r="Q35" s="6"/>
      <c r="R35" s="6"/>
      <c r="S35" s="11"/>
      <c r="T35" s="11"/>
      <c r="U35" s="10"/>
      <c r="V35" s="10"/>
    </row>
    <row r="36" spans="1:22" ht="15" customHeight="1">
      <c r="A36" s="6"/>
      <c r="B36" s="7"/>
      <c r="C36" s="6" t="str">
        <f t="shared" ref="C36:C99" si="1">IF(B36="","",CHOOSE(WEEKDAY(B36,2),"Montag","Dienstag","Mittwoch","Donnerstag","Freitag","Samstag","Sonntag"))</f>
        <v/>
      </c>
      <c r="D36" s="8"/>
      <c r="E36" s="6"/>
      <c r="F36" s="6" t="str">
        <f>IF($E36="","",IFERROR(INDEX(Ansprechpartner!$F$4:$F$80,MATCH($E36,AP_Namen,0)),""))</f>
        <v/>
      </c>
      <c r="G36" s="6" t="str">
        <f>IF($E36="","",IFERROR(INDEX(Ansprechpartner!$C$4:$C$80,MATCH($E36,AP_Namen,0)),""))</f>
        <v/>
      </c>
      <c r="H36" s="6"/>
      <c r="I36" s="6"/>
      <c r="J36" s="6"/>
      <c r="K36" s="6"/>
      <c r="L36" s="10"/>
      <c r="M36" s="11"/>
      <c r="N36" s="12"/>
      <c r="O36" s="8"/>
      <c r="P36" s="6"/>
      <c r="Q36" s="6"/>
      <c r="R36" s="6"/>
      <c r="S36" s="11"/>
      <c r="T36" s="11"/>
      <c r="U36" s="10"/>
      <c r="V36" s="10"/>
    </row>
    <row r="37" spans="1:22" ht="15" customHeight="1">
      <c r="A37" s="6"/>
      <c r="B37" s="7"/>
      <c r="C37" s="6" t="str">
        <f t="shared" si="1"/>
        <v/>
      </c>
      <c r="D37" s="8"/>
      <c r="E37" s="6"/>
      <c r="F37" s="6" t="str">
        <f>IF($E37="","",IFERROR(INDEX(Ansprechpartner!$F$4:$F$80,MATCH($E37,AP_Namen,0)),""))</f>
        <v/>
      </c>
      <c r="G37" s="6" t="str">
        <f>IF($E37="","",IFERROR(INDEX(Ansprechpartner!$C$4:$C$80,MATCH($E37,AP_Namen,0)),""))</f>
        <v/>
      </c>
      <c r="H37" s="6"/>
      <c r="I37" s="6"/>
      <c r="J37" s="6"/>
      <c r="K37" s="6"/>
      <c r="L37" s="10"/>
      <c r="M37" s="11"/>
      <c r="N37" s="12"/>
      <c r="O37" s="8"/>
      <c r="P37" s="6"/>
      <c r="Q37" s="6"/>
      <c r="R37" s="6"/>
      <c r="S37" s="11"/>
      <c r="T37" s="11"/>
      <c r="U37" s="10"/>
      <c r="V37" s="10"/>
    </row>
    <row r="38" spans="1:22" ht="15" customHeight="1">
      <c r="A38" s="6"/>
      <c r="B38" s="7"/>
      <c r="C38" s="6" t="str">
        <f t="shared" si="1"/>
        <v/>
      </c>
      <c r="D38" s="8"/>
      <c r="E38" s="6"/>
      <c r="F38" s="6" t="str">
        <f>IF($E38="","",IFERROR(INDEX(Ansprechpartner!$F$4:$F$80,MATCH($E38,AP_Namen,0)),""))</f>
        <v/>
      </c>
      <c r="G38" s="6" t="str">
        <f>IF($E38="","",IFERROR(INDEX(Ansprechpartner!$C$4:$C$80,MATCH($E38,AP_Namen,0)),""))</f>
        <v/>
      </c>
      <c r="H38" s="6"/>
      <c r="I38" s="6"/>
      <c r="J38" s="6"/>
      <c r="K38" s="6"/>
      <c r="L38" s="10"/>
      <c r="M38" s="11"/>
      <c r="N38" s="12"/>
      <c r="O38" s="8"/>
      <c r="P38" s="6"/>
      <c r="Q38" s="6"/>
      <c r="R38" s="6"/>
      <c r="S38" s="11"/>
      <c r="T38" s="11"/>
      <c r="U38" s="10"/>
      <c r="V38" s="10"/>
    </row>
    <row r="39" spans="1:22" ht="15" customHeight="1">
      <c r="A39" s="6"/>
      <c r="B39" s="7"/>
      <c r="C39" s="6" t="str">
        <f t="shared" si="1"/>
        <v/>
      </c>
      <c r="D39" s="8"/>
      <c r="E39" s="6"/>
      <c r="F39" s="6" t="str">
        <f>IF($E39="","",IFERROR(INDEX(Ansprechpartner!$F$4:$F$80,MATCH($E39,AP_Namen,0)),""))</f>
        <v/>
      </c>
      <c r="G39" s="6" t="str">
        <f>IF($E39="","",IFERROR(INDEX(Ansprechpartner!$C$4:$C$80,MATCH($E39,AP_Namen,0)),""))</f>
        <v/>
      </c>
      <c r="H39" s="6"/>
      <c r="I39" s="6"/>
      <c r="J39" s="6"/>
      <c r="K39" s="6"/>
      <c r="L39" s="10"/>
      <c r="M39" s="11"/>
      <c r="N39" s="12"/>
      <c r="O39" s="8"/>
      <c r="P39" s="6"/>
      <c r="Q39" s="6"/>
      <c r="R39" s="6"/>
      <c r="S39" s="11"/>
      <c r="T39" s="11"/>
      <c r="U39" s="10"/>
      <c r="V39" s="10"/>
    </row>
    <row r="40" spans="1:22" ht="15" customHeight="1">
      <c r="A40" s="6"/>
      <c r="B40" s="7"/>
      <c r="C40" s="6" t="str">
        <f t="shared" si="1"/>
        <v/>
      </c>
      <c r="D40" s="8"/>
      <c r="E40" s="6"/>
      <c r="F40" s="6" t="str">
        <f>IF($E40="","",IFERROR(INDEX(Ansprechpartner!$F$4:$F$80,MATCH($E40,AP_Namen,0)),""))</f>
        <v/>
      </c>
      <c r="G40" s="6" t="str">
        <f>IF($E40="","",IFERROR(INDEX(Ansprechpartner!$C$4:$C$80,MATCH($E40,AP_Namen,0)),""))</f>
        <v/>
      </c>
      <c r="H40" s="6"/>
      <c r="I40" s="6"/>
      <c r="J40" s="6"/>
      <c r="K40" s="6"/>
      <c r="L40" s="10"/>
      <c r="M40" s="11"/>
      <c r="N40" s="12"/>
      <c r="O40" s="8"/>
      <c r="P40" s="6"/>
      <c r="Q40" s="6"/>
      <c r="R40" s="6"/>
      <c r="S40" s="11"/>
      <c r="T40" s="11"/>
      <c r="U40" s="10"/>
      <c r="V40" s="10"/>
    </row>
    <row r="41" spans="1:22" ht="15" customHeight="1">
      <c r="A41" s="6"/>
      <c r="B41" s="7"/>
      <c r="C41" s="6" t="str">
        <f t="shared" si="1"/>
        <v/>
      </c>
      <c r="D41" s="8"/>
      <c r="E41" s="6"/>
      <c r="F41" s="6" t="str">
        <f>IF($E41="","",IFERROR(INDEX(Ansprechpartner!$F$4:$F$80,MATCH($E41,AP_Namen,0)),""))</f>
        <v/>
      </c>
      <c r="G41" s="6" t="str">
        <f>IF($E41="","",IFERROR(INDEX(Ansprechpartner!$C$4:$C$80,MATCH($E41,AP_Namen,0)),""))</f>
        <v/>
      </c>
      <c r="H41" s="6"/>
      <c r="I41" s="6"/>
      <c r="J41" s="6"/>
      <c r="K41" s="6"/>
      <c r="L41" s="10"/>
      <c r="M41" s="11"/>
      <c r="N41" s="12"/>
      <c r="O41" s="8"/>
      <c r="P41" s="6"/>
      <c r="Q41" s="6"/>
      <c r="R41" s="6"/>
      <c r="S41" s="11"/>
      <c r="T41" s="11"/>
      <c r="U41" s="10"/>
      <c r="V41" s="10"/>
    </row>
    <row r="42" spans="1:22" ht="15" customHeight="1">
      <c r="A42" s="6"/>
      <c r="B42" s="7"/>
      <c r="C42" s="6" t="str">
        <f t="shared" si="1"/>
        <v/>
      </c>
      <c r="D42" s="8"/>
      <c r="E42" s="6"/>
      <c r="F42" s="6" t="str">
        <f>IF($E42="","",IFERROR(INDEX(Ansprechpartner!$F$4:$F$80,MATCH($E42,AP_Namen,0)),""))</f>
        <v/>
      </c>
      <c r="G42" s="6" t="str">
        <f>IF($E42="","",IFERROR(INDEX(Ansprechpartner!$C$4:$C$80,MATCH($E42,AP_Namen,0)),""))</f>
        <v/>
      </c>
      <c r="H42" s="6"/>
      <c r="I42" s="6"/>
      <c r="J42" s="6"/>
      <c r="K42" s="6"/>
      <c r="L42" s="10"/>
      <c r="M42" s="11"/>
      <c r="N42" s="12"/>
      <c r="O42" s="8"/>
      <c r="P42" s="6"/>
      <c r="Q42" s="6"/>
      <c r="R42" s="6"/>
      <c r="S42" s="11"/>
      <c r="T42" s="11"/>
      <c r="U42" s="10"/>
      <c r="V42" s="10"/>
    </row>
    <row r="43" spans="1:22" ht="15" customHeight="1">
      <c r="A43" s="6"/>
      <c r="B43" s="7"/>
      <c r="C43" s="6" t="str">
        <f t="shared" si="1"/>
        <v/>
      </c>
      <c r="D43" s="8"/>
      <c r="E43" s="6"/>
      <c r="F43" s="6" t="str">
        <f>IF($E43="","",IFERROR(INDEX(Ansprechpartner!$F$4:$F$80,MATCH($E43,AP_Namen,0)),""))</f>
        <v/>
      </c>
      <c r="G43" s="6" t="str">
        <f>IF($E43="","",IFERROR(INDEX(Ansprechpartner!$C$4:$C$80,MATCH($E43,AP_Namen,0)),""))</f>
        <v/>
      </c>
      <c r="H43" s="6"/>
      <c r="I43" s="6"/>
      <c r="J43" s="6"/>
      <c r="K43" s="6"/>
      <c r="L43" s="10"/>
      <c r="M43" s="11"/>
      <c r="N43" s="12"/>
      <c r="O43" s="8"/>
      <c r="P43" s="6"/>
      <c r="Q43" s="6"/>
      <c r="R43" s="6"/>
      <c r="S43" s="11"/>
      <c r="T43" s="11"/>
      <c r="U43" s="10"/>
      <c r="V43" s="10"/>
    </row>
    <row r="44" spans="1:22" ht="15" customHeight="1">
      <c r="A44" s="6"/>
      <c r="B44" s="7"/>
      <c r="C44" s="6" t="str">
        <f t="shared" si="1"/>
        <v/>
      </c>
      <c r="D44" s="8"/>
      <c r="E44" s="6"/>
      <c r="F44" s="6" t="str">
        <f>IF($E44="","",IFERROR(INDEX(Ansprechpartner!$F$4:$F$80,MATCH($E44,AP_Namen,0)),""))</f>
        <v/>
      </c>
      <c r="G44" s="6" t="str">
        <f>IF($E44="","",IFERROR(INDEX(Ansprechpartner!$C$4:$C$80,MATCH($E44,AP_Namen,0)),""))</f>
        <v/>
      </c>
      <c r="H44" s="6"/>
      <c r="I44" s="6"/>
      <c r="J44" s="6"/>
      <c r="K44" s="6"/>
      <c r="L44" s="10"/>
      <c r="M44" s="11"/>
      <c r="N44" s="12"/>
      <c r="O44" s="8"/>
      <c r="P44" s="6"/>
      <c r="Q44" s="6"/>
      <c r="R44" s="6"/>
      <c r="S44" s="11"/>
      <c r="T44" s="11"/>
      <c r="U44" s="10"/>
      <c r="V44" s="10"/>
    </row>
    <row r="45" spans="1:22" ht="15" customHeight="1">
      <c r="A45" s="6"/>
      <c r="B45" s="7"/>
      <c r="C45" s="6" t="str">
        <f t="shared" si="1"/>
        <v/>
      </c>
      <c r="D45" s="8"/>
      <c r="E45" s="6"/>
      <c r="F45" s="6" t="str">
        <f>IF($E45="","",IFERROR(INDEX(Ansprechpartner!$F$4:$F$80,MATCH($E45,AP_Namen,0)),""))</f>
        <v/>
      </c>
      <c r="G45" s="6" t="str">
        <f>IF($E45="","",IFERROR(INDEX(Ansprechpartner!$C$4:$C$80,MATCH($E45,AP_Namen,0)),""))</f>
        <v/>
      </c>
      <c r="H45" s="6"/>
      <c r="I45" s="6"/>
      <c r="J45" s="6"/>
      <c r="K45" s="6"/>
      <c r="L45" s="10"/>
      <c r="M45" s="11"/>
      <c r="N45" s="12"/>
      <c r="O45" s="8"/>
      <c r="P45" s="6"/>
      <c r="Q45" s="6"/>
      <c r="R45" s="6"/>
      <c r="S45" s="11"/>
      <c r="T45" s="11"/>
      <c r="U45" s="10"/>
      <c r="V45" s="10"/>
    </row>
    <row r="46" spans="1:22" ht="15" customHeight="1">
      <c r="A46" s="6"/>
      <c r="B46" s="7"/>
      <c r="C46" s="6" t="str">
        <f t="shared" si="1"/>
        <v/>
      </c>
      <c r="D46" s="8"/>
      <c r="E46" s="6"/>
      <c r="F46" s="6" t="str">
        <f>IF($E46="","",IFERROR(INDEX(Ansprechpartner!$F$4:$F$80,MATCH($E46,AP_Namen,0)),""))</f>
        <v/>
      </c>
      <c r="G46" s="6" t="str">
        <f>IF($E46="","",IFERROR(INDEX(Ansprechpartner!$C$4:$C$80,MATCH($E46,AP_Namen,0)),""))</f>
        <v/>
      </c>
      <c r="H46" s="6"/>
      <c r="I46" s="6"/>
      <c r="J46" s="6"/>
      <c r="K46" s="6"/>
      <c r="L46" s="10"/>
      <c r="M46" s="11"/>
      <c r="N46" s="12"/>
      <c r="O46" s="8"/>
      <c r="P46" s="6"/>
      <c r="Q46" s="6"/>
      <c r="R46" s="6"/>
      <c r="S46" s="11"/>
      <c r="T46" s="11"/>
      <c r="U46" s="10"/>
      <c r="V46" s="10"/>
    </row>
    <row r="47" spans="1:22" ht="15" customHeight="1">
      <c r="A47" s="6"/>
      <c r="B47" s="7"/>
      <c r="C47" s="6" t="str">
        <f t="shared" si="1"/>
        <v/>
      </c>
      <c r="D47" s="8"/>
      <c r="E47" s="6"/>
      <c r="F47" s="6" t="str">
        <f>IF($E47="","",IFERROR(INDEX(Ansprechpartner!$F$4:$F$80,MATCH($E47,AP_Namen,0)),""))</f>
        <v/>
      </c>
      <c r="G47" s="6" t="str">
        <f>IF($E47="","",IFERROR(INDEX(Ansprechpartner!$C$4:$C$80,MATCH($E47,AP_Namen,0)),""))</f>
        <v/>
      </c>
      <c r="H47" s="6"/>
      <c r="I47" s="6"/>
      <c r="J47" s="6"/>
      <c r="K47" s="6"/>
      <c r="L47" s="10"/>
      <c r="M47" s="11"/>
      <c r="N47" s="12"/>
      <c r="O47" s="8"/>
      <c r="P47" s="6"/>
      <c r="Q47" s="6"/>
      <c r="R47" s="6"/>
      <c r="S47" s="11"/>
      <c r="T47" s="11"/>
      <c r="U47" s="10"/>
      <c r="V47" s="10"/>
    </row>
    <row r="48" spans="1:22" ht="15" customHeight="1">
      <c r="A48" s="6"/>
      <c r="B48" s="7"/>
      <c r="C48" s="6" t="str">
        <f t="shared" si="1"/>
        <v/>
      </c>
      <c r="D48" s="8"/>
      <c r="E48" s="6"/>
      <c r="F48" s="6" t="str">
        <f>IF($E48="","",IFERROR(INDEX(Ansprechpartner!$F$4:$F$80,MATCH($E48,AP_Namen,0)),""))</f>
        <v/>
      </c>
      <c r="G48" s="6" t="str">
        <f>IF($E48="","",IFERROR(INDEX(Ansprechpartner!$C$4:$C$80,MATCH($E48,AP_Namen,0)),""))</f>
        <v/>
      </c>
      <c r="H48" s="6"/>
      <c r="I48" s="6"/>
      <c r="J48" s="6"/>
      <c r="K48" s="6"/>
      <c r="L48" s="10"/>
      <c r="M48" s="11"/>
      <c r="N48" s="12"/>
      <c r="O48" s="8"/>
      <c r="P48" s="6"/>
      <c r="Q48" s="6"/>
      <c r="R48" s="6"/>
      <c r="S48" s="11"/>
      <c r="T48" s="11"/>
      <c r="U48" s="10"/>
      <c r="V48" s="10"/>
    </row>
    <row r="49" spans="1:22" ht="15" customHeight="1">
      <c r="A49" s="6"/>
      <c r="B49" s="7"/>
      <c r="C49" s="6" t="str">
        <f t="shared" si="1"/>
        <v/>
      </c>
      <c r="D49" s="8"/>
      <c r="E49" s="6"/>
      <c r="F49" s="6" t="str">
        <f>IF($E49="","",IFERROR(INDEX(Ansprechpartner!$F$4:$F$80,MATCH($E49,AP_Namen,0)),""))</f>
        <v/>
      </c>
      <c r="G49" s="6" t="str">
        <f>IF($E49="","",IFERROR(INDEX(Ansprechpartner!$C$4:$C$80,MATCH($E49,AP_Namen,0)),""))</f>
        <v/>
      </c>
      <c r="H49" s="6"/>
      <c r="I49" s="6"/>
      <c r="J49" s="6"/>
      <c r="K49" s="6"/>
      <c r="L49" s="10"/>
      <c r="M49" s="11"/>
      <c r="N49" s="12"/>
      <c r="O49" s="8"/>
      <c r="P49" s="6"/>
      <c r="Q49" s="6"/>
      <c r="R49" s="6"/>
      <c r="S49" s="11"/>
      <c r="T49" s="11"/>
      <c r="U49" s="10"/>
      <c r="V49" s="10"/>
    </row>
    <row r="50" spans="1:22" ht="15" customHeight="1">
      <c r="A50" s="6"/>
      <c r="B50" s="7"/>
      <c r="C50" s="6" t="str">
        <f t="shared" si="1"/>
        <v/>
      </c>
      <c r="D50" s="8"/>
      <c r="E50" s="6"/>
      <c r="F50" s="6" t="str">
        <f>IF($E50="","",IFERROR(INDEX(Ansprechpartner!$F$4:$F$80,MATCH($E50,AP_Namen,0)),""))</f>
        <v/>
      </c>
      <c r="G50" s="6" t="str">
        <f>IF($E50="","",IFERROR(INDEX(Ansprechpartner!$C$4:$C$80,MATCH($E50,AP_Namen,0)),""))</f>
        <v/>
      </c>
      <c r="H50" s="6"/>
      <c r="I50" s="6"/>
      <c r="J50" s="6"/>
      <c r="K50" s="6"/>
      <c r="L50" s="10"/>
      <c r="M50" s="11"/>
      <c r="N50" s="12"/>
      <c r="O50" s="8"/>
      <c r="P50" s="6"/>
      <c r="Q50" s="6"/>
      <c r="R50" s="6"/>
      <c r="S50" s="11"/>
      <c r="T50" s="11"/>
      <c r="U50" s="10"/>
      <c r="V50" s="10"/>
    </row>
    <row r="51" spans="1:22" ht="15" customHeight="1">
      <c r="A51" s="6"/>
      <c r="B51" s="7"/>
      <c r="C51" s="6" t="str">
        <f t="shared" si="1"/>
        <v/>
      </c>
      <c r="D51" s="8"/>
      <c r="E51" s="6"/>
      <c r="F51" s="6" t="str">
        <f>IF($E51="","",IFERROR(INDEX(Ansprechpartner!$F$4:$F$80,MATCH($E51,AP_Namen,0)),""))</f>
        <v/>
      </c>
      <c r="G51" s="6" t="str">
        <f>IF($E51="","",IFERROR(INDEX(Ansprechpartner!$C$4:$C$80,MATCH($E51,AP_Namen,0)),""))</f>
        <v/>
      </c>
      <c r="H51" s="6"/>
      <c r="I51" s="6"/>
      <c r="J51" s="6"/>
      <c r="K51" s="6"/>
      <c r="L51" s="10"/>
      <c r="M51" s="11"/>
      <c r="N51" s="12"/>
      <c r="O51" s="8"/>
      <c r="P51" s="6"/>
      <c r="Q51" s="6"/>
      <c r="R51" s="6"/>
      <c r="S51" s="11"/>
      <c r="T51" s="11"/>
      <c r="U51" s="10"/>
      <c r="V51" s="10"/>
    </row>
    <row r="52" spans="1:22" ht="15" customHeight="1">
      <c r="A52" s="6"/>
      <c r="B52" s="7"/>
      <c r="C52" s="6" t="str">
        <f t="shared" si="1"/>
        <v/>
      </c>
      <c r="D52" s="8"/>
      <c r="E52" s="6"/>
      <c r="F52" s="6" t="str">
        <f>IF($E52="","",IFERROR(INDEX(Ansprechpartner!$F$4:$F$80,MATCH($E52,AP_Namen,0)),""))</f>
        <v/>
      </c>
      <c r="G52" s="6" t="str">
        <f>IF($E52="","",IFERROR(INDEX(Ansprechpartner!$C$4:$C$80,MATCH($E52,AP_Namen,0)),""))</f>
        <v/>
      </c>
      <c r="H52" s="6"/>
      <c r="I52" s="6"/>
      <c r="J52" s="6"/>
      <c r="K52" s="6"/>
      <c r="L52" s="10"/>
      <c r="M52" s="11"/>
      <c r="N52" s="12"/>
      <c r="O52" s="8"/>
      <c r="P52" s="6"/>
      <c r="Q52" s="6"/>
      <c r="R52" s="6"/>
      <c r="S52" s="11"/>
      <c r="T52" s="11"/>
      <c r="U52" s="10"/>
      <c r="V52" s="10"/>
    </row>
    <row r="53" spans="1:22" ht="15" customHeight="1">
      <c r="A53" s="6"/>
      <c r="B53" s="7"/>
      <c r="C53" s="6" t="str">
        <f t="shared" si="1"/>
        <v/>
      </c>
      <c r="D53" s="8"/>
      <c r="E53" s="6"/>
      <c r="F53" s="6" t="str">
        <f>IF($E53="","",IFERROR(INDEX(Ansprechpartner!$F$4:$F$80,MATCH($E53,AP_Namen,0)),""))</f>
        <v/>
      </c>
      <c r="G53" s="6" t="str">
        <f>IF($E53="","",IFERROR(INDEX(Ansprechpartner!$C$4:$C$80,MATCH($E53,AP_Namen,0)),""))</f>
        <v/>
      </c>
      <c r="H53" s="6"/>
      <c r="I53" s="6"/>
      <c r="J53" s="6"/>
      <c r="K53" s="6"/>
      <c r="L53" s="10"/>
      <c r="M53" s="11"/>
      <c r="N53" s="12"/>
      <c r="O53" s="8"/>
      <c r="P53" s="6"/>
      <c r="Q53" s="6"/>
      <c r="R53" s="6"/>
      <c r="S53" s="11"/>
      <c r="T53" s="11"/>
      <c r="U53" s="10"/>
      <c r="V53" s="10"/>
    </row>
    <row r="54" spans="1:22" ht="15" customHeight="1">
      <c r="A54" s="6"/>
      <c r="B54" s="7"/>
      <c r="C54" s="6" t="str">
        <f t="shared" si="1"/>
        <v/>
      </c>
      <c r="D54" s="8"/>
      <c r="E54" s="6"/>
      <c r="F54" s="6" t="str">
        <f>IF($E54="","",IFERROR(INDEX(Ansprechpartner!$F$4:$F$80,MATCH($E54,AP_Namen,0)),""))</f>
        <v/>
      </c>
      <c r="G54" s="6" t="str">
        <f>IF($E54="","",IFERROR(INDEX(Ansprechpartner!$C$4:$C$80,MATCH($E54,AP_Namen,0)),""))</f>
        <v/>
      </c>
      <c r="H54" s="6"/>
      <c r="I54" s="6"/>
      <c r="J54" s="6"/>
      <c r="K54" s="6"/>
      <c r="L54" s="10"/>
      <c r="M54" s="11"/>
      <c r="N54" s="12"/>
      <c r="O54" s="8"/>
      <c r="P54" s="6"/>
      <c r="Q54" s="6"/>
      <c r="R54" s="6"/>
      <c r="S54" s="11"/>
      <c r="T54" s="11"/>
      <c r="U54" s="10"/>
      <c r="V54" s="10"/>
    </row>
    <row r="55" spans="1:22" ht="15" customHeight="1">
      <c r="A55" s="6"/>
      <c r="B55" s="7"/>
      <c r="C55" s="6" t="str">
        <f t="shared" si="1"/>
        <v/>
      </c>
      <c r="D55" s="8"/>
      <c r="E55" s="6"/>
      <c r="F55" s="6" t="str">
        <f>IF($E55="","",IFERROR(INDEX(Ansprechpartner!$F$4:$F$80,MATCH($E55,AP_Namen,0)),""))</f>
        <v/>
      </c>
      <c r="G55" s="6" t="str">
        <f>IF($E55="","",IFERROR(INDEX(Ansprechpartner!$C$4:$C$80,MATCH($E55,AP_Namen,0)),""))</f>
        <v/>
      </c>
      <c r="H55" s="6"/>
      <c r="I55" s="6"/>
      <c r="J55" s="6"/>
      <c r="K55" s="6"/>
      <c r="L55" s="10"/>
      <c r="M55" s="11"/>
      <c r="N55" s="12"/>
      <c r="O55" s="8"/>
      <c r="P55" s="6"/>
      <c r="Q55" s="6"/>
      <c r="R55" s="6"/>
      <c r="S55" s="11"/>
      <c r="T55" s="11"/>
      <c r="U55" s="10"/>
      <c r="V55" s="10"/>
    </row>
    <row r="56" spans="1:22" ht="15" customHeight="1">
      <c r="A56" s="6"/>
      <c r="B56" s="7"/>
      <c r="C56" s="6" t="str">
        <f t="shared" si="1"/>
        <v/>
      </c>
      <c r="D56" s="8"/>
      <c r="E56" s="6"/>
      <c r="F56" s="6" t="str">
        <f>IF($E56="","",IFERROR(INDEX(Ansprechpartner!$F$4:$F$80,MATCH($E56,AP_Namen,0)),""))</f>
        <v/>
      </c>
      <c r="G56" s="6" t="str">
        <f>IF($E56="","",IFERROR(INDEX(Ansprechpartner!$C$4:$C$80,MATCH($E56,AP_Namen,0)),""))</f>
        <v/>
      </c>
      <c r="H56" s="6"/>
      <c r="I56" s="6"/>
      <c r="J56" s="6"/>
      <c r="K56" s="6"/>
      <c r="L56" s="10"/>
      <c r="M56" s="11"/>
      <c r="N56" s="12"/>
      <c r="O56" s="8"/>
      <c r="P56" s="6"/>
      <c r="Q56" s="6"/>
      <c r="R56" s="6"/>
      <c r="S56" s="11"/>
      <c r="T56" s="11"/>
      <c r="U56" s="10"/>
      <c r="V56" s="10"/>
    </row>
    <row r="57" spans="1:22" ht="15" customHeight="1">
      <c r="A57" s="6"/>
      <c r="B57" s="7"/>
      <c r="C57" s="6" t="str">
        <f t="shared" si="1"/>
        <v/>
      </c>
      <c r="D57" s="8"/>
      <c r="E57" s="6"/>
      <c r="F57" s="6" t="str">
        <f>IF($E57="","",IFERROR(INDEX(Ansprechpartner!$F$4:$F$80,MATCH($E57,AP_Namen,0)),""))</f>
        <v/>
      </c>
      <c r="G57" s="6" t="str">
        <f>IF($E57="","",IFERROR(INDEX(Ansprechpartner!$C$4:$C$80,MATCH($E57,AP_Namen,0)),""))</f>
        <v/>
      </c>
      <c r="H57" s="6"/>
      <c r="I57" s="6"/>
      <c r="J57" s="6"/>
      <c r="K57" s="6"/>
      <c r="L57" s="10"/>
      <c r="M57" s="11"/>
      <c r="N57" s="12"/>
      <c r="O57" s="8"/>
      <c r="P57" s="6"/>
      <c r="Q57" s="6"/>
      <c r="R57" s="6"/>
      <c r="S57" s="11"/>
      <c r="T57" s="11"/>
      <c r="U57" s="10"/>
      <c r="V57" s="10"/>
    </row>
    <row r="58" spans="1:22" ht="15" customHeight="1">
      <c r="A58" s="6"/>
      <c r="B58" s="7"/>
      <c r="C58" s="6" t="str">
        <f t="shared" si="1"/>
        <v/>
      </c>
      <c r="D58" s="8"/>
      <c r="E58" s="6"/>
      <c r="F58" s="6" t="str">
        <f>IF($E58="","",IFERROR(INDEX(Ansprechpartner!$F$4:$F$80,MATCH($E58,AP_Namen,0)),""))</f>
        <v/>
      </c>
      <c r="G58" s="6" t="str">
        <f>IF($E58="","",IFERROR(INDEX(Ansprechpartner!$C$4:$C$80,MATCH($E58,AP_Namen,0)),""))</f>
        <v/>
      </c>
      <c r="H58" s="6"/>
      <c r="I58" s="6"/>
      <c r="J58" s="6"/>
      <c r="K58" s="6"/>
      <c r="L58" s="10"/>
      <c r="M58" s="11"/>
      <c r="N58" s="12"/>
      <c r="O58" s="8"/>
      <c r="P58" s="6"/>
      <c r="Q58" s="6"/>
      <c r="R58" s="6"/>
      <c r="S58" s="11"/>
      <c r="T58" s="11"/>
      <c r="U58" s="10"/>
      <c r="V58" s="10"/>
    </row>
    <row r="59" spans="1:22" ht="15" customHeight="1">
      <c r="A59" s="6"/>
      <c r="B59" s="7"/>
      <c r="C59" s="6" t="str">
        <f t="shared" si="1"/>
        <v/>
      </c>
      <c r="D59" s="8"/>
      <c r="E59" s="6"/>
      <c r="F59" s="6" t="str">
        <f>IF($E59="","",IFERROR(INDEX(Ansprechpartner!$F$4:$F$80,MATCH($E59,AP_Namen,0)),""))</f>
        <v/>
      </c>
      <c r="G59" s="6" t="str">
        <f>IF($E59="","",IFERROR(INDEX(Ansprechpartner!$C$4:$C$80,MATCH($E59,AP_Namen,0)),""))</f>
        <v/>
      </c>
      <c r="H59" s="6"/>
      <c r="I59" s="6"/>
      <c r="J59" s="6"/>
      <c r="K59" s="6"/>
      <c r="L59" s="10"/>
      <c r="M59" s="11"/>
      <c r="N59" s="12"/>
      <c r="O59" s="8"/>
      <c r="P59" s="6"/>
      <c r="Q59" s="6"/>
      <c r="R59" s="6"/>
      <c r="S59" s="11"/>
      <c r="T59" s="11"/>
      <c r="U59" s="10"/>
      <c r="V59" s="10"/>
    </row>
    <row r="60" spans="1:22" ht="15" customHeight="1">
      <c r="A60" s="6"/>
      <c r="B60" s="7"/>
      <c r="C60" s="6" t="str">
        <f t="shared" si="1"/>
        <v/>
      </c>
      <c r="D60" s="8"/>
      <c r="E60" s="6"/>
      <c r="F60" s="6" t="str">
        <f>IF($E60="","",IFERROR(INDEX(Ansprechpartner!$F$4:$F$80,MATCH($E60,AP_Namen,0)),""))</f>
        <v/>
      </c>
      <c r="G60" s="6" t="str">
        <f>IF($E60="","",IFERROR(INDEX(Ansprechpartner!$C$4:$C$80,MATCH($E60,AP_Namen,0)),""))</f>
        <v/>
      </c>
      <c r="H60" s="6"/>
      <c r="I60" s="6"/>
      <c r="J60" s="6"/>
      <c r="K60" s="6"/>
      <c r="L60" s="10"/>
      <c r="M60" s="11"/>
      <c r="N60" s="12"/>
      <c r="O60" s="8"/>
      <c r="P60" s="6"/>
      <c r="Q60" s="6"/>
      <c r="R60" s="6"/>
      <c r="S60" s="11"/>
      <c r="T60" s="11"/>
      <c r="U60" s="10"/>
      <c r="V60" s="10"/>
    </row>
    <row r="61" spans="1:22" ht="15" customHeight="1">
      <c r="A61" s="6"/>
      <c r="B61" s="7"/>
      <c r="C61" s="6" t="str">
        <f t="shared" si="1"/>
        <v/>
      </c>
      <c r="D61" s="8"/>
      <c r="E61" s="6"/>
      <c r="F61" s="6" t="str">
        <f>IF($E61="","",IFERROR(INDEX(Ansprechpartner!$F$4:$F$80,MATCH($E61,AP_Namen,0)),""))</f>
        <v/>
      </c>
      <c r="G61" s="6" t="str">
        <f>IF($E61="","",IFERROR(INDEX(Ansprechpartner!$C$4:$C$80,MATCH($E61,AP_Namen,0)),""))</f>
        <v/>
      </c>
      <c r="H61" s="6"/>
      <c r="I61" s="6"/>
      <c r="J61" s="6"/>
      <c r="K61" s="6"/>
      <c r="M61" s="11"/>
      <c r="N61" s="12"/>
      <c r="O61" s="8"/>
      <c r="P61" s="6"/>
      <c r="S61" s="11"/>
      <c r="T61" s="11"/>
      <c r="U61" s="10"/>
      <c r="V61" s="10"/>
    </row>
    <row r="62" spans="1:22" ht="15" customHeight="1">
      <c r="A62" s="6"/>
      <c r="B62" s="7"/>
      <c r="C62" s="6" t="str">
        <f t="shared" si="1"/>
        <v/>
      </c>
      <c r="D62" s="8"/>
      <c r="E62" s="6"/>
      <c r="F62" s="6" t="str">
        <f>IF($E62="","",IFERROR(INDEX(Ansprechpartner!$F$4:$F$80,MATCH($E62,AP_Namen,0)),""))</f>
        <v/>
      </c>
      <c r="G62" s="6" t="str">
        <f>IF($E62="","",IFERROR(INDEX(Ansprechpartner!$C$4:$C$80,MATCH($E62,AP_Namen,0)),""))</f>
        <v/>
      </c>
      <c r="H62" s="6"/>
      <c r="I62" s="6"/>
      <c r="J62" s="6"/>
      <c r="K62" s="6"/>
      <c r="M62" s="11"/>
      <c r="N62" s="12"/>
      <c r="O62" s="8"/>
      <c r="P62" s="6"/>
      <c r="S62" s="11"/>
      <c r="T62" s="11"/>
      <c r="U62" s="10"/>
      <c r="V62" s="10"/>
    </row>
    <row r="63" spans="1:22" ht="15" customHeight="1">
      <c r="A63" s="6"/>
      <c r="B63" s="7"/>
      <c r="C63" s="6" t="str">
        <f t="shared" si="1"/>
        <v/>
      </c>
      <c r="D63" s="8"/>
      <c r="E63" s="6"/>
      <c r="F63" s="6" t="str">
        <f>IF($E63="","",IFERROR(INDEX(Ansprechpartner!$F$4:$F$80,MATCH($E63,AP_Namen,0)),""))</f>
        <v/>
      </c>
      <c r="G63" s="6" t="str">
        <f>IF($E63="","",IFERROR(INDEX(Ansprechpartner!$C$4:$C$80,MATCH($E63,AP_Namen,0)),""))</f>
        <v/>
      </c>
      <c r="H63" s="6"/>
      <c r="I63" s="6"/>
      <c r="J63" s="6"/>
      <c r="K63" s="6"/>
      <c r="M63" s="11"/>
      <c r="N63" s="12"/>
      <c r="O63" s="8"/>
      <c r="P63" s="6"/>
      <c r="S63" s="11"/>
      <c r="T63" s="11"/>
      <c r="U63" s="10"/>
      <c r="V63" s="10"/>
    </row>
    <row r="64" spans="1:22" ht="15" customHeight="1">
      <c r="A64" s="6"/>
      <c r="B64" s="7"/>
      <c r="C64" s="6" t="str">
        <f t="shared" si="1"/>
        <v/>
      </c>
      <c r="D64" s="8"/>
      <c r="E64" s="6"/>
      <c r="F64" s="6" t="str">
        <f>IF($E64="","",IFERROR(INDEX(Ansprechpartner!$F$4:$F$80,MATCH($E64,AP_Namen,0)),""))</f>
        <v/>
      </c>
      <c r="G64" s="6" t="str">
        <f>IF($E64="","",IFERROR(INDEX(Ansprechpartner!$C$4:$C$80,MATCH($E64,AP_Namen,0)),""))</f>
        <v/>
      </c>
      <c r="H64" s="6"/>
      <c r="I64" s="6"/>
      <c r="J64" s="6"/>
      <c r="K64" s="6"/>
      <c r="M64" s="11"/>
      <c r="N64" s="12"/>
      <c r="O64" s="8"/>
      <c r="P64" s="6"/>
      <c r="S64" s="11"/>
      <c r="T64" s="11"/>
      <c r="U64" s="10"/>
      <c r="V64" s="10"/>
    </row>
    <row r="65" spans="1:22" ht="15" customHeight="1">
      <c r="A65" s="6"/>
      <c r="B65" s="7"/>
      <c r="C65" s="6" t="str">
        <f t="shared" si="1"/>
        <v/>
      </c>
      <c r="D65" s="8"/>
      <c r="E65" s="6"/>
      <c r="F65" s="6" t="str">
        <f>IF($E65="","",IFERROR(INDEX(Ansprechpartner!$F$4:$F$80,MATCH($E65,AP_Namen,0)),""))</f>
        <v/>
      </c>
      <c r="G65" s="6" t="str">
        <f>IF($E65="","",IFERROR(INDEX(Ansprechpartner!$C$4:$C$80,MATCH($E65,AP_Namen,0)),""))</f>
        <v/>
      </c>
      <c r="H65" s="6"/>
      <c r="I65" s="6"/>
      <c r="J65" s="6"/>
      <c r="K65" s="6"/>
      <c r="M65" s="11"/>
      <c r="N65" s="12"/>
      <c r="O65" s="8"/>
      <c r="P65" s="6"/>
      <c r="S65" s="11"/>
      <c r="T65" s="11"/>
      <c r="U65" s="10"/>
      <c r="V65" s="10"/>
    </row>
    <row r="66" spans="1:22" ht="15" customHeight="1">
      <c r="A66" s="6"/>
      <c r="B66" s="7"/>
      <c r="C66" s="6" t="str">
        <f t="shared" si="1"/>
        <v/>
      </c>
      <c r="D66" s="8"/>
      <c r="E66" s="6"/>
      <c r="F66" s="6" t="str">
        <f>IF($E66="","",IFERROR(INDEX(Ansprechpartner!$F$4:$F$80,MATCH($E66,AP_Namen,0)),""))</f>
        <v/>
      </c>
      <c r="G66" s="6" t="str">
        <f>IF($E66="","",IFERROR(INDEX(Ansprechpartner!$C$4:$C$80,MATCH($E66,AP_Namen,0)),""))</f>
        <v/>
      </c>
      <c r="H66" s="6"/>
      <c r="I66" s="6"/>
      <c r="J66" s="6"/>
      <c r="K66" s="6"/>
      <c r="M66" s="11"/>
      <c r="N66" s="12"/>
      <c r="O66" s="8"/>
      <c r="P66" s="6"/>
      <c r="S66" s="11"/>
      <c r="T66" s="11"/>
      <c r="U66" s="10"/>
      <c r="V66" s="10"/>
    </row>
    <row r="67" spans="1:22" ht="15" customHeight="1">
      <c r="C67" t="str">
        <f t="shared" si="1"/>
        <v/>
      </c>
      <c r="F67" t="str">
        <f>IF($E67="","",IFERROR(INDEX(Ansprechpartner!$F$4:$F$80,MATCH($E67,AP_Namen,0)),""))</f>
        <v/>
      </c>
      <c r="G67" t="str">
        <f>IF($E67="","",IFERROR(INDEX(Ansprechpartner!$C$4:$C$80,MATCH($E67,AP_Namen,0)),""))</f>
        <v/>
      </c>
    </row>
    <row r="68" spans="1:22" ht="15" customHeight="1">
      <c r="C68" t="str">
        <f t="shared" si="1"/>
        <v/>
      </c>
      <c r="F68" t="str">
        <f>IF($E68="","",IFERROR(INDEX(Ansprechpartner!$F$4:$F$80,MATCH($E68,AP_Namen,0)),""))</f>
        <v/>
      </c>
      <c r="G68" t="str">
        <f>IF($E68="","",IFERROR(INDEX(Ansprechpartner!$C$4:$C$80,MATCH($E68,AP_Namen,0)),""))</f>
        <v/>
      </c>
    </row>
    <row r="69" spans="1:22" ht="15" customHeight="1">
      <c r="C69" t="str">
        <f t="shared" si="1"/>
        <v/>
      </c>
      <c r="F69" t="str">
        <f>IF($E69="","",IFERROR(INDEX(Ansprechpartner!$F$4:$F$80,MATCH($E69,AP_Namen,0)),""))</f>
        <v/>
      </c>
      <c r="G69" t="str">
        <f>IF($E69="","",IFERROR(INDEX(Ansprechpartner!$C$4:$C$80,MATCH($E69,AP_Namen,0)),""))</f>
        <v/>
      </c>
    </row>
    <row r="70" spans="1:22" ht="15" customHeight="1">
      <c r="C70" t="str">
        <f t="shared" si="1"/>
        <v/>
      </c>
      <c r="F70" t="str">
        <f>IF($E70="","",IFERROR(INDEX(Ansprechpartner!$F$4:$F$80,MATCH($E70,AP_Namen,0)),""))</f>
        <v/>
      </c>
      <c r="G70" t="str">
        <f>IF($E70="","",IFERROR(INDEX(Ansprechpartner!$C$4:$C$80,MATCH($E70,AP_Namen,0)),""))</f>
        <v/>
      </c>
    </row>
    <row r="71" spans="1:22" ht="15" customHeight="1">
      <c r="C71" t="str">
        <f t="shared" si="1"/>
        <v/>
      </c>
      <c r="F71" t="str">
        <f>IF($E71="","",IFERROR(INDEX(Ansprechpartner!$F$4:$F$80,MATCH($E71,AP_Namen,0)),""))</f>
        <v/>
      </c>
      <c r="G71" t="str">
        <f>IF($E71="","",IFERROR(INDEX(Ansprechpartner!$C$4:$C$80,MATCH($E71,AP_Namen,0)),""))</f>
        <v/>
      </c>
    </row>
    <row r="72" spans="1:22" ht="15" customHeight="1">
      <c r="C72" t="str">
        <f t="shared" si="1"/>
        <v/>
      </c>
      <c r="F72" t="str">
        <f>IF($E72="","",IFERROR(INDEX(Ansprechpartner!$F$4:$F$80,MATCH($E72,AP_Namen,0)),""))</f>
        <v/>
      </c>
      <c r="G72" t="str">
        <f>IF($E72="","",IFERROR(INDEX(Ansprechpartner!$C$4:$C$80,MATCH($E72,AP_Namen,0)),""))</f>
        <v/>
      </c>
    </row>
    <row r="73" spans="1:22" ht="15" customHeight="1">
      <c r="C73" t="str">
        <f t="shared" si="1"/>
        <v/>
      </c>
      <c r="F73" t="str">
        <f>IF($E73="","",IFERROR(INDEX(Ansprechpartner!$F$4:$F$80,MATCH($E73,AP_Namen,0)),""))</f>
        <v/>
      </c>
      <c r="G73" t="str">
        <f>IF($E73="","",IFERROR(INDEX(Ansprechpartner!$C$4:$C$80,MATCH($E73,AP_Namen,0)),""))</f>
        <v/>
      </c>
    </row>
    <row r="74" spans="1:22" ht="15" customHeight="1">
      <c r="C74" t="str">
        <f t="shared" si="1"/>
        <v/>
      </c>
      <c r="F74" t="str">
        <f>IF($E74="","",IFERROR(INDEX(Ansprechpartner!$F$4:$F$80,MATCH($E74,AP_Namen,0)),""))</f>
        <v/>
      </c>
      <c r="G74" t="str">
        <f>IF($E74="","",IFERROR(INDEX(Ansprechpartner!$C$4:$C$80,MATCH($E74,AP_Namen,0)),""))</f>
        <v/>
      </c>
    </row>
    <row r="75" spans="1:22" ht="15" customHeight="1">
      <c r="C75" t="str">
        <f t="shared" si="1"/>
        <v/>
      </c>
      <c r="F75" t="str">
        <f>IF($E75="","",IFERROR(INDEX(Ansprechpartner!$F$4:$F$80,MATCH($E75,AP_Namen,0)),""))</f>
        <v/>
      </c>
      <c r="G75" t="str">
        <f>IF($E75="","",IFERROR(INDEX(Ansprechpartner!$C$4:$C$80,MATCH($E75,AP_Namen,0)),""))</f>
        <v/>
      </c>
    </row>
    <row r="76" spans="1:22" ht="15" customHeight="1">
      <c r="C76" t="str">
        <f t="shared" si="1"/>
        <v/>
      </c>
      <c r="F76" t="str">
        <f>IF($E76="","",IFERROR(INDEX(Ansprechpartner!$F$4:$F$80,MATCH($E76,AP_Namen,0)),""))</f>
        <v/>
      </c>
      <c r="G76" t="str">
        <f>IF($E76="","",IFERROR(INDEX(Ansprechpartner!$C$4:$C$80,MATCH($E76,AP_Namen,0)),""))</f>
        <v/>
      </c>
    </row>
    <row r="77" spans="1:22" ht="15" customHeight="1">
      <c r="C77" t="str">
        <f t="shared" si="1"/>
        <v/>
      </c>
      <c r="F77" t="str">
        <f>IF($E77="","",IFERROR(INDEX(Ansprechpartner!$F$4:$F$80,MATCH($E77,AP_Namen,0)),""))</f>
        <v/>
      </c>
      <c r="G77" t="str">
        <f>IF($E77="","",IFERROR(INDEX(Ansprechpartner!$C$4:$C$80,MATCH($E77,AP_Namen,0)),""))</f>
        <v/>
      </c>
    </row>
    <row r="78" spans="1:22" ht="15" customHeight="1">
      <c r="C78" t="str">
        <f t="shared" si="1"/>
        <v/>
      </c>
      <c r="F78" t="str">
        <f>IF($E78="","",IFERROR(INDEX(Ansprechpartner!$F$4:$F$80,MATCH($E78,AP_Namen,0)),""))</f>
        <v/>
      </c>
      <c r="G78" t="str">
        <f>IF($E78="","",IFERROR(INDEX(Ansprechpartner!$C$4:$C$80,MATCH($E78,AP_Namen,0)),""))</f>
        <v/>
      </c>
    </row>
    <row r="79" spans="1:22" ht="15" customHeight="1">
      <c r="C79" t="str">
        <f t="shared" si="1"/>
        <v/>
      </c>
      <c r="F79" t="str">
        <f>IF($E79="","",IFERROR(INDEX(Ansprechpartner!$F$4:$F$80,MATCH($E79,AP_Namen,0)),""))</f>
        <v/>
      </c>
      <c r="G79" t="str">
        <f>IF($E79="","",IFERROR(INDEX(Ansprechpartner!$C$4:$C$80,MATCH($E79,AP_Namen,0)),""))</f>
        <v/>
      </c>
    </row>
    <row r="80" spans="1:22" ht="15" customHeight="1">
      <c r="C80" t="str">
        <f t="shared" si="1"/>
        <v/>
      </c>
      <c r="F80" t="str">
        <f>IF($E80="","",IFERROR(INDEX(Ansprechpartner!$F$4:$F$80,MATCH($E80,AP_Namen,0)),""))</f>
        <v/>
      </c>
      <c r="G80" t="str">
        <f>IF($E80="","",IFERROR(INDEX(Ansprechpartner!$C$4:$C$80,MATCH($E80,AP_Namen,0)),""))</f>
        <v/>
      </c>
    </row>
    <row r="81" spans="3:7" ht="15" customHeight="1">
      <c r="C81" t="str">
        <f t="shared" si="1"/>
        <v/>
      </c>
      <c r="F81" t="str">
        <f>IF($E81="","",IFERROR(INDEX(Ansprechpartner!$F$4:$F$80,MATCH($E81,AP_Namen,0)),""))</f>
        <v/>
      </c>
      <c r="G81" t="str">
        <f>IF($E81="","",IFERROR(INDEX(Ansprechpartner!$C$4:$C$80,MATCH($E81,AP_Namen,0)),""))</f>
        <v/>
      </c>
    </row>
    <row r="82" spans="3:7" ht="15" customHeight="1">
      <c r="C82" t="str">
        <f t="shared" si="1"/>
        <v/>
      </c>
      <c r="F82" t="str">
        <f>IF($E82="","",IFERROR(INDEX(Ansprechpartner!$F$4:$F$80,MATCH($E82,AP_Namen,0)),""))</f>
        <v/>
      </c>
      <c r="G82" t="str">
        <f>IF($E82="","",IFERROR(INDEX(Ansprechpartner!$C$4:$C$80,MATCH($E82,AP_Namen,0)),""))</f>
        <v/>
      </c>
    </row>
    <row r="83" spans="3:7" ht="15" customHeight="1">
      <c r="C83" t="str">
        <f t="shared" si="1"/>
        <v/>
      </c>
      <c r="F83" t="str">
        <f>IF($E83="","",IFERROR(INDEX(Ansprechpartner!$F$4:$F$80,MATCH($E83,AP_Namen,0)),""))</f>
        <v/>
      </c>
      <c r="G83" t="str">
        <f>IF($E83="","",IFERROR(INDEX(Ansprechpartner!$C$4:$C$80,MATCH($E83,AP_Namen,0)),""))</f>
        <v/>
      </c>
    </row>
    <row r="84" spans="3:7" ht="15" customHeight="1">
      <c r="C84" t="str">
        <f t="shared" si="1"/>
        <v/>
      </c>
      <c r="F84" t="str">
        <f>IF($E84="","",IFERROR(INDEX(Ansprechpartner!$F$4:$F$80,MATCH($E84,AP_Namen,0)),""))</f>
        <v/>
      </c>
      <c r="G84" t="str">
        <f>IF($E84="","",IFERROR(INDEX(Ansprechpartner!$C$4:$C$80,MATCH($E84,AP_Namen,0)),""))</f>
        <v/>
      </c>
    </row>
    <row r="85" spans="3:7" ht="15" customHeight="1">
      <c r="C85" t="str">
        <f t="shared" si="1"/>
        <v/>
      </c>
      <c r="F85" t="str">
        <f>IF($E85="","",IFERROR(INDEX(Ansprechpartner!$F$4:$F$80,MATCH($E85,AP_Namen,0)),""))</f>
        <v/>
      </c>
      <c r="G85" t="str">
        <f>IF($E85="","",IFERROR(INDEX(Ansprechpartner!$C$4:$C$80,MATCH($E85,AP_Namen,0)),""))</f>
        <v/>
      </c>
    </row>
    <row r="86" spans="3:7" ht="15" customHeight="1">
      <c r="C86" t="str">
        <f t="shared" si="1"/>
        <v/>
      </c>
      <c r="F86" t="str">
        <f>IF($E86="","",IFERROR(INDEX(Ansprechpartner!$F$4:$F$80,MATCH($E86,AP_Namen,0)),""))</f>
        <v/>
      </c>
      <c r="G86" t="str">
        <f>IF($E86="","",IFERROR(INDEX(Ansprechpartner!$C$4:$C$80,MATCH($E86,AP_Namen,0)),""))</f>
        <v/>
      </c>
    </row>
    <row r="87" spans="3:7" ht="15" customHeight="1">
      <c r="C87" t="str">
        <f t="shared" si="1"/>
        <v/>
      </c>
      <c r="F87" t="str">
        <f>IF($E87="","",IFERROR(INDEX(Ansprechpartner!$F$4:$F$80,MATCH($E87,AP_Namen,0)),""))</f>
        <v/>
      </c>
      <c r="G87" t="str">
        <f>IF($E87="","",IFERROR(INDEX(Ansprechpartner!$C$4:$C$80,MATCH($E87,AP_Namen,0)),""))</f>
        <v/>
      </c>
    </row>
    <row r="88" spans="3:7" ht="15" customHeight="1">
      <c r="C88" t="str">
        <f t="shared" si="1"/>
        <v/>
      </c>
      <c r="F88" t="str">
        <f>IF($E88="","",IFERROR(INDEX(Ansprechpartner!$F$4:$F$80,MATCH($E88,AP_Namen,0)),""))</f>
        <v/>
      </c>
      <c r="G88" t="str">
        <f>IF($E88="","",IFERROR(INDEX(Ansprechpartner!$C$4:$C$80,MATCH($E88,AP_Namen,0)),""))</f>
        <v/>
      </c>
    </row>
    <row r="89" spans="3:7" ht="15" customHeight="1">
      <c r="C89" t="str">
        <f t="shared" si="1"/>
        <v/>
      </c>
      <c r="F89" t="str">
        <f>IF($E89="","",IFERROR(INDEX(Ansprechpartner!$F$4:$F$80,MATCH($E89,AP_Namen,0)),""))</f>
        <v/>
      </c>
      <c r="G89" t="str">
        <f>IF($E89="","",IFERROR(INDEX(Ansprechpartner!$C$4:$C$80,MATCH($E89,AP_Namen,0)),""))</f>
        <v/>
      </c>
    </row>
    <row r="90" spans="3:7" ht="15" customHeight="1">
      <c r="C90" t="str">
        <f t="shared" si="1"/>
        <v/>
      </c>
      <c r="F90" t="str">
        <f>IF($E90="","",IFERROR(INDEX(Ansprechpartner!$F$4:$F$80,MATCH($E90,AP_Namen,0)),""))</f>
        <v/>
      </c>
      <c r="G90" t="str">
        <f>IF($E90="","",IFERROR(INDEX(Ansprechpartner!$C$4:$C$80,MATCH($E90,AP_Namen,0)),""))</f>
        <v/>
      </c>
    </row>
    <row r="91" spans="3:7" ht="15" customHeight="1">
      <c r="C91" t="str">
        <f t="shared" si="1"/>
        <v/>
      </c>
      <c r="F91" t="str">
        <f>IF($E91="","",IFERROR(INDEX(Ansprechpartner!$F$4:$F$80,MATCH($E91,AP_Namen,0)),""))</f>
        <v/>
      </c>
      <c r="G91" t="str">
        <f>IF($E91="","",IFERROR(INDEX(Ansprechpartner!$C$4:$C$80,MATCH($E91,AP_Namen,0)),""))</f>
        <v/>
      </c>
    </row>
    <row r="92" spans="3:7" ht="15" customHeight="1">
      <c r="C92" t="str">
        <f t="shared" si="1"/>
        <v/>
      </c>
      <c r="F92" t="str">
        <f>IF($E92="","",IFERROR(INDEX(Ansprechpartner!$F$4:$F$80,MATCH($E92,AP_Namen,0)),""))</f>
        <v/>
      </c>
      <c r="G92" t="str">
        <f>IF($E92="","",IFERROR(INDEX(Ansprechpartner!$C$4:$C$80,MATCH($E92,AP_Namen,0)),""))</f>
        <v/>
      </c>
    </row>
    <row r="93" spans="3:7" ht="15" customHeight="1">
      <c r="C93" t="str">
        <f t="shared" si="1"/>
        <v/>
      </c>
      <c r="F93" t="str">
        <f>IF($E93="","",IFERROR(INDEX(Ansprechpartner!$F$4:$F$80,MATCH($E93,AP_Namen,0)),""))</f>
        <v/>
      </c>
      <c r="G93" t="str">
        <f>IF($E93="","",IFERROR(INDEX(Ansprechpartner!$C$4:$C$80,MATCH($E93,AP_Namen,0)),""))</f>
        <v/>
      </c>
    </row>
    <row r="94" spans="3:7" ht="15" customHeight="1">
      <c r="C94" t="str">
        <f t="shared" si="1"/>
        <v/>
      </c>
      <c r="F94" t="str">
        <f>IF($E94="","",IFERROR(INDEX(Ansprechpartner!$F$4:$F$80,MATCH($E94,AP_Namen,0)),""))</f>
        <v/>
      </c>
      <c r="G94" t="str">
        <f>IF($E94="","",IFERROR(INDEX(Ansprechpartner!$C$4:$C$80,MATCH($E94,AP_Namen,0)),""))</f>
        <v/>
      </c>
    </row>
    <row r="95" spans="3:7" ht="15" customHeight="1">
      <c r="C95" t="str">
        <f t="shared" si="1"/>
        <v/>
      </c>
      <c r="F95" t="str">
        <f>IF($E95="","",IFERROR(INDEX(Ansprechpartner!$F$4:$F$80,MATCH($E95,AP_Namen,0)),""))</f>
        <v/>
      </c>
      <c r="G95" t="str">
        <f>IF($E95="","",IFERROR(INDEX(Ansprechpartner!$C$4:$C$80,MATCH($E95,AP_Namen,0)),""))</f>
        <v/>
      </c>
    </row>
    <row r="96" spans="3:7" ht="15" customHeight="1">
      <c r="C96" t="str">
        <f t="shared" si="1"/>
        <v/>
      </c>
      <c r="F96" t="str">
        <f>IF($E96="","",IFERROR(INDEX(Ansprechpartner!$F$4:$F$80,MATCH($E96,AP_Namen,0)),""))</f>
        <v/>
      </c>
      <c r="G96" t="str">
        <f>IF($E96="","",IFERROR(INDEX(Ansprechpartner!$C$4:$C$80,MATCH($E96,AP_Namen,0)),""))</f>
        <v/>
      </c>
    </row>
    <row r="97" spans="3:7" ht="15" customHeight="1">
      <c r="C97" t="str">
        <f t="shared" si="1"/>
        <v/>
      </c>
      <c r="F97" t="str">
        <f>IF($E97="","",IFERROR(INDEX(Ansprechpartner!$F$4:$F$80,MATCH($E97,AP_Namen,0)),""))</f>
        <v/>
      </c>
      <c r="G97" t="str">
        <f>IF($E97="","",IFERROR(INDEX(Ansprechpartner!$C$4:$C$80,MATCH($E97,AP_Namen,0)),""))</f>
        <v/>
      </c>
    </row>
    <row r="98" spans="3:7" ht="15" customHeight="1">
      <c r="C98" t="str">
        <f t="shared" si="1"/>
        <v/>
      </c>
      <c r="F98" t="str">
        <f>IF($E98="","",IFERROR(INDEX(Ansprechpartner!$F$4:$F$80,MATCH($E98,AP_Namen,0)),""))</f>
        <v/>
      </c>
      <c r="G98" t="str">
        <f>IF($E98="","",IFERROR(INDEX(Ansprechpartner!$C$4:$C$80,MATCH($E98,AP_Namen,0)),""))</f>
        <v/>
      </c>
    </row>
    <row r="99" spans="3:7" ht="15" customHeight="1">
      <c r="C99" t="str">
        <f t="shared" si="1"/>
        <v/>
      </c>
      <c r="F99" t="str">
        <f>IF($E99="","",IFERROR(INDEX(Ansprechpartner!$F$4:$F$80,MATCH($E99,AP_Namen,0)),""))</f>
        <v/>
      </c>
      <c r="G99" t="str">
        <f>IF($E99="","",IFERROR(INDEX(Ansprechpartner!$C$4:$C$80,MATCH($E99,AP_Namen,0)),""))</f>
        <v/>
      </c>
    </row>
    <row r="100" spans="3:7" ht="15" customHeight="1">
      <c r="C100" t="str">
        <f t="shared" ref="C100:C163" si="2">IF(B100="","",CHOOSE(WEEKDAY(B100,2),"Montag","Dienstag","Mittwoch","Donnerstag","Freitag","Samstag","Sonntag"))</f>
        <v/>
      </c>
      <c r="F100" t="str">
        <f>IF($E100="","",IFERROR(INDEX(Ansprechpartner!$F$4:$F$80,MATCH($E100,AP_Namen,0)),""))</f>
        <v/>
      </c>
      <c r="G100" t="str">
        <f>IF($E100="","",IFERROR(INDEX(Ansprechpartner!$C$4:$C$80,MATCH($E100,AP_Namen,0)),""))</f>
        <v/>
      </c>
    </row>
    <row r="101" spans="3:7" ht="15" customHeight="1">
      <c r="C101" t="str">
        <f t="shared" si="2"/>
        <v/>
      </c>
      <c r="F101" t="str">
        <f>IF($E101="","",IFERROR(INDEX(Ansprechpartner!$F$4:$F$80,MATCH($E101,AP_Namen,0)),""))</f>
        <v/>
      </c>
      <c r="G101" t="str">
        <f>IF($E101="","",IFERROR(INDEX(Ansprechpartner!$C$4:$C$80,MATCH($E101,AP_Namen,0)),""))</f>
        <v/>
      </c>
    </row>
    <row r="102" spans="3:7" ht="15" customHeight="1">
      <c r="C102" t="str">
        <f t="shared" si="2"/>
        <v/>
      </c>
      <c r="F102" t="str">
        <f>IF($E102="","",IFERROR(INDEX(Ansprechpartner!$F$4:$F$80,MATCH($E102,AP_Namen,0)),""))</f>
        <v/>
      </c>
      <c r="G102" t="str">
        <f>IF($E102="","",IFERROR(INDEX(Ansprechpartner!$C$4:$C$80,MATCH($E102,AP_Namen,0)),""))</f>
        <v/>
      </c>
    </row>
    <row r="103" spans="3:7" ht="15" customHeight="1">
      <c r="C103" t="str">
        <f t="shared" si="2"/>
        <v/>
      </c>
      <c r="F103" t="str">
        <f>IF($E103="","",IFERROR(INDEX(Ansprechpartner!$F$4:$F$80,MATCH($E103,AP_Namen,0)),""))</f>
        <v/>
      </c>
      <c r="G103" t="str">
        <f>IF($E103="","",IFERROR(INDEX(Ansprechpartner!$C$4:$C$80,MATCH($E103,AP_Namen,0)),""))</f>
        <v/>
      </c>
    </row>
    <row r="104" spans="3:7" ht="15" customHeight="1">
      <c r="C104" t="str">
        <f t="shared" si="2"/>
        <v/>
      </c>
      <c r="F104" t="str">
        <f>IF($E104="","",IFERROR(INDEX(Ansprechpartner!$F$4:$F$80,MATCH($E104,AP_Namen,0)),""))</f>
        <v/>
      </c>
      <c r="G104" t="str">
        <f>IF($E104="","",IFERROR(INDEX(Ansprechpartner!$C$4:$C$80,MATCH($E104,AP_Namen,0)),""))</f>
        <v/>
      </c>
    </row>
    <row r="105" spans="3:7" ht="15" customHeight="1">
      <c r="C105" t="str">
        <f t="shared" si="2"/>
        <v/>
      </c>
      <c r="F105" t="str">
        <f>IF($E105="","",IFERROR(INDEX(Ansprechpartner!$F$4:$F$80,MATCH($E105,AP_Namen,0)),""))</f>
        <v/>
      </c>
      <c r="G105" t="str">
        <f>IF($E105="","",IFERROR(INDEX(Ansprechpartner!$C$4:$C$80,MATCH($E105,AP_Namen,0)),""))</f>
        <v/>
      </c>
    </row>
    <row r="106" spans="3:7" ht="15" customHeight="1">
      <c r="C106" t="str">
        <f t="shared" si="2"/>
        <v/>
      </c>
      <c r="F106" t="str">
        <f>IF($E106="","",IFERROR(INDEX(Ansprechpartner!$F$4:$F$80,MATCH($E106,AP_Namen,0)),""))</f>
        <v/>
      </c>
      <c r="G106" t="str">
        <f>IF($E106="","",IFERROR(INDEX(Ansprechpartner!$C$4:$C$80,MATCH($E106,AP_Namen,0)),""))</f>
        <v/>
      </c>
    </row>
    <row r="107" spans="3:7" ht="15" customHeight="1">
      <c r="C107" t="str">
        <f t="shared" si="2"/>
        <v/>
      </c>
      <c r="F107" t="str">
        <f>IF($E107="","",IFERROR(INDEX(Ansprechpartner!$F$4:$F$80,MATCH($E107,AP_Namen,0)),""))</f>
        <v/>
      </c>
      <c r="G107" t="str">
        <f>IF($E107="","",IFERROR(INDEX(Ansprechpartner!$C$4:$C$80,MATCH($E107,AP_Namen,0)),""))</f>
        <v/>
      </c>
    </row>
    <row r="108" spans="3:7" ht="15" customHeight="1">
      <c r="C108" t="str">
        <f t="shared" si="2"/>
        <v/>
      </c>
      <c r="F108" t="str">
        <f>IF($E108="","",IFERROR(INDEX(Ansprechpartner!$F$4:$F$80,MATCH($E108,AP_Namen,0)),""))</f>
        <v/>
      </c>
      <c r="G108" t="str">
        <f>IF($E108="","",IFERROR(INDEX(Ansprechpartner!$C$4:$C$80,MATCH($E108,AP_Namen,0)),""))</f>
        <v/>
      </c>
    </row>
    <row r="109" spans="3:7" ht="15" customHeight="1">
      <c r="C109" t="str">
        <f t="shared" si="2"/>
        <v/>
      </c>
      <c r="F109" t="str">
        <f>IF($E109="","",IFERROR(INDEX(Ansprechpartner!$F$4:$F$80,MATCH($E109,AP_Namen,0)),""))</f>
        <v/>
      </c>
      <c r="G109" t="str">
        <f>IF($E109="","",IFERROR(INDEX(Ansprechpartner!$C$4:$C$80,MATCH($E109,AP_Namen,0)),""))</f>
        <v/>
      </c>
    </row>
    <row r="110" spans="3:7" ht="15" customHeight="1">
      <c r="C110" t="str">
        <f t="shared" si="2"/>
        <v/>
      </c>
      <c r="F110" t="str">
        <f>IF($E110="","",IFERROR(INDEX(Ansprechpartner!$F$4:$F$80,MATCH($E110,AP_Namen,0)),""))</f>
        <v/>
      </c>
      <c r="G110" t="str">
        <f>IF($E110="","",IFERROR(INDEX(Ansprechpartner!$C$4:$C$80,MATCH($E110,AP_Namen,0)),""))</f>
        <v/>
      </c>
    </row>
    <row r="111" spans="3:7" ht="15" customHeight="1">
      <c r="C111" t="str">
        <f t="shared" si="2"/>
        <v/>
      </c>
      <c r="F111" t="str">
        <f>IF($E111="","",IFERROR(INDEX(Ansprechpartner!$F$4:$F$80,MATCH($E111,AP_Namen,0)),""))</f>
        <v/>
      </c>
      <c r="G111" t="str">
        <f>IF($E111="","",IFERROR(INDEX(Ansprechpartner!$C$4:$C$80,MATCH($E111,AP_Namen,0)),""))</f>
        <v/>
      </c>
    </row>
    <row r="112" spans="3:7" ht="15" customHeight="1">
      <c r="C112" t="str">
        <f t="shared" si="2"/>
        <v/>
      </c>
      <c r="F112" t="str">
        <f>IF($E112="","",IFERROR(INDEX(Ansprechpartner!$F$4:$F$80,MATCH($E112,AP_Namen,0)),""))</f>
        <v/>
      </c>
      <c r="G112" t="str">
        <f>IF($E112="","",IFERROR(INDEX(Ansprechpartner!$C$4:$C$80,MATCH($E112,AP_Namen,0)),""))</f>
        <v/>
      </c>
    </row>
    <row r="113" spans="3:7" ht="15" customHeight="1">
      <c r="C113" t="str">
        <f t="shared" si="2"/>
        <v/>
      </c>
      <c r="F113" t="str">
        <f>IF($E113="","",IFERROR(INDEX(Ansprechpartner!$F$4:$F$80,MATCH($E113,AP_Namen,0)),""))</f>
        <v/>
      </c>
      <c r="G113" t="str">
        <f>IF($E113="","",IFERROR(INDEX(Ansprechpartner!$C$4:$C$80,MATCH($E113,AP_Namen,0)),""))</f>
        <v/>
      </c>
    </row>
    <row r="114" spans="3:7" ht="15" customHeight="1">
      <c r="C114" t="str">
        <f t="shared" si="2"/>
        <v/>
      </c>
      <c r="F114" t="str">
        <f>IF($E114="","",IFERROR(INDEX(Ansprechpartner!$F$4:$F$80,MATCH($E114,AP_Namen,0)),""))</f>
        <v/>
      </c>
      <c r="G114" t="str">
        <f>IF($E114="","",IFERROR(INDEX(Ansprechpartner!$C$4:$C$80,MATCH($E114,AP_Namen,0)),""))</f>
        <v/>
      </c>
    </row>
    <row r="115" spans="3:7" ht="15" customHeight="1">
      <c r="C115" t="str">
        <f t="shared" si="2"/>
        <v/>
      </c>
      <c r="F115" t="str">
        <f>IF($E115="","",IFERROR(INDEX(Ansprechpartner!$F$4:$F$80,MATCH($E115,AP_Namen,0)),""))</f>
        <v/>
      </c>
      <c r="G115" t="str">
        <f>IF($E115="","",IFERROR(INDEX(Ansprechpartner!$C$4:$C$80,MATCH($E115,AP_Namen,0)),""))</f>
        <v/>
      </c>
    </row>
    <row r="116" spans="3:7" ht="15" customHeight="1">
      <c r="C116" t="str">
        <f t="shared" si="2"/>
        <v/>
      </c>
      <c r="F116" t="str">
        <f>IF($E116="","",IFERROR(INDEX(Ansprechpartner!$F$4:$F$80,MATCH($E116,AP_Namen,0)),""))</f>
        <v/>
      </c>
      <c r="G116" t="str">
        <f>IF($E116="","",IFERROR(INDEX(Ansprechpartner!$C$4:$C$80,MATCH($E116,AP_Namen,0)),""))</f>
        <v/>
      </c>
    </row>
    <row r="117" spans="3:7" ht="15" customHeight="1">
      <c r="C117" t="str">
        <f t="shared" si="2"/>
        <v/>
      </c>
      <c r="F117" t="str">
        <f>IF($E117="","",IFERROR(INDEX(Ansprechpartner!$F$4:$F$80,MATCH($E117,AP_Namen,0)),""))</f>
        <v/>
      </c>
      <c r="G117" t="str">
        <f>IF($E117="","",IFERROR(INDEX(Ansprechpartner!$C$4:$C$80,MATCH($E117,AP_Namen,0)),""))</f>
        <v/>
      </c>
    </row>
    <row r="118" spans="3:7" ht="15" customHeight="1">
      <c r="C118" t="str">
        <f t="shared" si="2"/>
        <v/>
      </c>
      <c r="F118" t="str">
        <f>IF($E118="","",IFERROR(INDEX(Ansprechpartner!$F$4:$F$80,MATCH($E118,AP_Namen,0)),""))</f>
        <v/>
      </c>
      <c r="G118" t="str">
        <f>IF($E118="","",IFERROR(INDEX(Ansprechpartner!$C$4:$C$80,MATCH($E118,AP_Namen,0)),""))</f>
        <v/>
      </c>
    </row>
    <row r="119" spans="3:7" ht="15" customHeight="1">
      <c r="C119" t="str">
        <f t="shared" si="2"/>
        <v/>
      </c>
      <c r="F119" t="str">
        <f>IF($E119="","",IFERROR(INDEX(Ansprechpartner!$F$4:$F$80,MATCH($E119,AP_Namen,0)),""))</f>
        <v/>
      </c>
      <c r="G119" t="str">
        <f>IF($E119="","",IFERROR(INDEX(Ansprechpartner!$C$4:$C$80,MATCH($E119,AP_Namen,0)),""))</f>
        <v/>
      </c>
    </row>
    <row r="120" spans="3:7" ht="15" customHeight="1">
      <c r="C120" t="str">
        <f t="shared" si="2"/>
        <v/>
      </c>
      <c r="F120" t="str">
        <f>IF($E120="","",IFERROR(INDEX(Ansprechpartner!$F$4:$F$80,MATCH($E120,AP_Namen,0)),""))</f>
        <v/>
      </c>
      <c r="G120" t="str">
        <f>IF($E120="","",IFERROR(INDEX(Ansprechpartner!$C$4:$C$80,MATCH($E120,AP_Namen,0)),""))</f>
        <v/>
      </c>
    </row>
    <row r="121" spans="3:7" ht="15" customHeight="1">
      <c r="C121" t="str">
        <f t="shared" si="2"/>
        <v/>
      </c>
      <c r="F121" t="str">
        <f>IF($E121="","",IFERROR(INDEX(Ansprechpartner!$F$4:$F$80,MATCH($E121,AP_Namen,0)),""))</f>
        <v/>
      </c>
      <c r="G121" t="str">
        <f>IF($E121="","",IFERROR(INDEX(Ansprechpartner!$C$4:$C$80,MATCH($E121,AP_Namen,0)),""))</f>
        <v/>
      </c>
    </row>
    <row r="122" spans="3:7" ht="15" customHeight="1">
      <c r="C122" t="str">
        <f t="shared" si="2"/>
        <v/>
      </c>
      <c r="F122" t="str">
        <f>IF($E122="","",IFERROR(INDEX(Ansprechpartner!$F$4:$F$80,MATCH($E122,AP_Namen,0)),""))</f>
        <v/>
      </c>
      <c r="G122" t="str">
        <f>IF($E122="","",IFERROR(INDEX(Ansprechpartner!$C$4:$C$80,MATCH($E122,AP_Namen,0)),""))</f>
        <v/>
      </c>
    </row>
    <row r="123" spans="3:7" ht="15" customHeight="1">
      <c r="C123" t="str">
        <f t="shared" si="2"/>
        <v/>
      </c>
      <c r="F123" t="str">
        <f>IF($E123="","",IFERROR(INDEX(Ansprechpartner!$F$4:$F$80,MATCH($E123,AP_Namen,0)),""))</f>
        <v/>
      </c>
      <c r="G123" t="str">
        <f>IF($E123="","",IFERROR(INDEX(Ansprechpartner!$C$4:$C$80,MATCH($E123,AP_Namen,0)),""))</f>
        <v/>
      </c>
    </row>
    <row r="124" spans="3:7" ht="15" customHeight="1">
      <c r="C124" t="str">
        <f t="shared" si="2"/>
        <v/>
      </c>
      <c r="F124" t="str">
        <f>IF($E124="","",IFERROR(INDEX(Ansprechpartner!$F$4:$F$80,MATCH($E124,AP_Namen,0)),""))</f>
        <v/>
      </c>
      <c r="G124" t="str">
        <f>IF($E124="","",IFERROR(INDEX(Ansprechpartner!$C$4:$C$80,MATCH($E124,AP_Namen,0)),""))</f>
        <v/>
      </c>
    </row>
    <row r="125" spans="3:7" ht="15" customHeight="1">
      <c r="C125" t="str">
        <f t="shared" si="2"/>
        <v/>
      </c>
      <c r="F125" t="str">
        <f>IF($E125="","",IFERROR(INDEX(Ansprechpartner!$F$4:$F$80,MATCH($E125,AP_Namen,0)),""))</f>
        <v/>
      </c>
      <c r="G125" t="str">
        <f>IF($E125="","",IFERROR(INDEX(Ansprechpartner!$C$4:$C$80,MATCH($E125,AP_Namen,0)),""))</f>
        <v/>
      </c>
    </row>
    <row r="126" spans="3:7" ht="15" customHeight="1">
      <c r="C126" t="str">
        <f t="shared" si="2"/>
        <v/>
      </c>
      <c r="F126" t="str">
        <f>IF($E126="","",IFERROR(INDEX(Ansprechpartner!$F$4:$F$80,MATCH($E126,AP_Namen,0)),""))</f>
        <v/>
      </c>
      <c r="G126" t="str">
        <f>IF($E126="","",IFERROR(INDEX(Ansprechpartner!$C$4:$C$80,MATCH($E126,AP_Namen,0)),""))</f>
        <v/>
      </c>
    </row>
    <row r="127" spans="3:7" ht="15" customHeight="1">
      <c r="C127" t="str">
        <f t="shared" si="2"/>
        <v/>
      </c>
      <c r="F127" t="str">
        <f>IF($E127="","",IFERROR(INDEX(Ansprechpartner!$F$4:$F$80,MATCH($E127,AP_Namen,0)),""))</f>
        <v/>
      </c>
      <c r="G127" t="str">
        <f>IF($E127="","",IFERROR(INDEX(Ansprechpartner!$C$4:$C$80,MATCH($E127,AP_Namen,0)),""))</f>
        <v/>
      </c>
    </row>
    <row r="128" spans="3:7" ht="15" customHeight="1">
      <c r="C128" t="str">
        <f t="shared" si="2"/>
        <v/>
      </c>
      <c r="F128" t="str">
        <f>IF($E128="","",IFERROR(INDEX(Ansprechpartner!$F$4:$F$80,MATCH($E128,AP_Namen,0)),""))</f>
        <v/>
      </c>
      <c r="G128" t="str">
        <f>IF($E128="","",IFERROR(INDEX(Ansprechpartner!$C$4:$C$80,MATCH($E128,AP_Namen,0)),""))</f>
        <v/>
      </c>
    </row>
    <row r="129" spans="3:7" ht="15" customHeight="1">
      <c r="C129" t="str">
        <f t="shared" si="2"/>
        <v/>
      </c>
      <c r="F129" t="str">
        <f>IF($E129="","",IFERROR(INDEX(Ansprechpartner!$F$4:$F$80,MATCH($E129,AP_Namen,0)),""))</f>
        <v/>
      </c>
      <c r="G129" t="str">
        <f>IF($E129="","",IFERROR(INDEX(Ansprechpartner!$C$4:$C$80,MATCH($E129,AP_Namen,0)),""))</f>
        <v/>
      </c>
    </row>
    <row r="130" spans="3:7" ht="15" customHeight="1">
      <c r="C130" t="str">
        <f t="shared" si="2"/>
        <v/>
      </c>
      <c r="F130" t="str">
        <f>IF($E130="","",IFERROR(INDEX(Ansprechpartner!$F$4:$F$80,MATCH($E130,AP_Namen,0)),""))</f>
        <v/>
      </c>
      <c r="G130" t="str">
        <f>IF($E130="","",IFERROR(INDEX(Ansprechpartner!$C$4:$C$80,MATCH($E130,AP_Namen,0)),""))</f>
        <v/>
      </c>
    </row>
    <row r="131" spans="3:7" ht="15" customHeight="1">
      <c r="C131" t="str">
        <f t="shared" si="2"/>
        <v/>
      </c>
      <c r="F131" t="str">
        <f>IF($E131="","",IFERROR(INDEX(Ansprechpartner!$F$4:$F$80,MATCH($E131,AP_Namen,0)),""))</f>
        <v/>
      </c>
      <c r="G131" t="str">
        <f>IF($E131="","",IFERROR(INDEX(Ansprechpartner!$C$4:$C$80,MATCH($E131,AP_Namen,0)),""))</f>
        <v/>
      </c>
    </row>
    <row r="132" spans="3:7" ht="15" customHeight="1">
      <c r="C132" t="str">
        <f t="shared" si="2"/>
        <v/>
      </c>
      <c r="F132" t="str">
        <f>IF($E132="","",IFERROR(INDEX(Ansprechpartner!$F$4:$F$80,MATCH($E132,AP_Namen,0)),""))</f>
        <v/>
      </c>
      <c r="G132" t="str">
        <f>IF($E132="","",IFERROR(INDEX(Ansprechpartner!$C$4:$C$80,MATCH($E132,AP_Namen,0)),""))</f>
        <v/>
      </c>
    </row>
    <row r="133" spans="3:7" ht="15" customHeight="1">
      <c r="C133" t="str">
        <f t="shared" si="2"/>
        <v/>
      </c>
      <c r="F133" t="str">
        <f>IF($E133="","",IFERROR(INDEX(Ansprechpartner!$F$4:$F$80,MATCH($E133,AP_Namen,0)),""))</f>
        <v/>
      </c>
      <c r="G133" t="str">
        <f>IF($E133="","",IFERROR(INDEX(Ansprechpartner!$C$4:$C$80,MATCH($E133,AP_Namen,0)),""))</f>
        <v/>
      </c>
    </row>
    <row r="134" spans="3:7" ht="15" customHeight="1">
      <c r="C134" t="str">
        <f t="shared" si="2"/>
        <v/>
      </c>
      <c r="F134" t="str">
        <f>IF($E134="","",IFERROR(INDEX(Ansprechpartner!$F$4:$F$80,MATCH($E134,AP_Namen,0)),""))</f>
        <v/>
      </c>
      <c r="G134" t="str">
        <f>IF($E134="","",IFERROR(INDEX(Ansprechpartner!$C$4:$C$80,MATCH($E134,AP_Namen,0)),""))</f>
        <v/>
      </c>
    </row>
    <row r="135" spans="3:7" ht="15" customHeight="1">
      <c r="C135" t="str">
        <f t="shared" si="2"/>
        <v/>
      </c>
      <c r="F135" t="str">
        <f>IF($E135="","",IFERROR(INDEX(Ansprechpartner!$F$4:$F$80,MATCH($E135,AP_Namen,0)),""))</f>
        <v/>
      </c>
      <c r="G135" t="str">
        <f>IF($E135="","",IFERROR(INDEX(Ansprechpartner!$C$4:$C$80,MATCH($E135,AP_Namen,0)),""))</f>
        <v/>
      </c>
    </row>
    <row r="136" spans="3:7" ht="15" customHeight="1">
      <c r="C136" t="str">
        <f t="shared" si="2"/>
        <v/>
      </c>
      <c r="F136" t="str">
        <f>IF($E136="","",IFERROR(INDEX(Ansprechpartner!$F$4:$F$80,MATCH($E136,AP_Namen,0)),""))</f>
        <v/>
      </c>
      <c r="G136" t="str">
        <f>IF($E136="","",IFERROR(INDEX(Ansprechpartner!$C$4:$C$80,MATCH($E136,AP_Namen,0)),""))</f>
        <v/>
      </c>
    </row>
    <row r="137" spans="3:7" ht="15" customHeight="1">
      <c r="C137" t="str">
        <f t="shared" si="2"/>
        <v/>
      </c>
      <c r="F137" t="str">
        <f>IF($E137="","",IFERROR(INDEX(Ansprechpartner!$F$4:$F$80,MATCH($E137,AP_Namen,0)),""))</f>
        <v/>
      </c>
      <c r="G137" t="str">
        <f>IF($E137="","",IFERROR(INDEX(Ansprechpartner!$C$4:$C$80,MATCH($E137,AP_Namen,0)),""))</f>
        <v/>
      </c>
    </row>
    <row r="138" spans="3:7" ht="15" customHeight="1">
      <c r="C138" t="str">
        <f t="shared" si="2"/>
        <v/>
      </c>
      <c r="F138" t="str">
        <f>IF($E138="","",IFERROR(INDEX(Ansprechpartner!$F$4:$F$80,MATCH($E138,AP_Namen,0)),""))</f>
        <v/>
      </c>
      <c r="G138" t="str">
        <f>IF($E138="","",IFERROR(INDEX(Ansprechpartner!$C$4:$C$80,MATCH($E138,AP_Namen,0)),""))</f>
        <v/>
      </c>
    </row>
    <row r="139" spans="3:7" ht="15" customHeight="1">
      <c r="C139" t="str">
        <f t="shared" si="2"/>
        <v/>
      </c>
      <c r="F139" t="str">
        <f>IF($E139="","",IFERROR(INDEX(Ansprechpartner!$F$4:$F$80,MATCH($E139,AP_Namen,0)),""))</f>
        <v/>
      </c>
      <c r="G139" t="str">
        <f>IF($E139="","",IFERROR(INDEX(Ansprechpartner!$C$4:$C$80,MATCH($E139,AP_Namen,0)),""))</f>
        <v/>
      </c>
    </row>
    <row r="140" spans="3:7" ht="15" customHeight="1">
      <c r="C140" t="str">
        <f t="shared" si="2"/>
        <v/>
      </c>
      <c r="F140" t="str">
        <f>IF($E140="","",IFERROR(INDEX(Ansprechpartner!$F$4:$F$80,MATCH($E140,AP_Namen,0)),""))</f>
        <v/>
      </c>
      <c r="G140" t="str">
        <f>IF($E140="","",IFERROR(INDEX(Ansprechpartner!$C$4:$C$80,MATCH($E140,AP_Namen,0)),""))</f>
        <v/>
      </c>
    </row>
    <row r="141" spans="3:7" ht="15" customHeight="1">
      <c r="C141" t="str">
        <f t="shared" si="2"/>
        <v/>
      </c>
      <c r="F141" t="str">
        <f>IF($E141="","",IFERROR(INDEX(Ansprechpartner!$F$4:$F$80,MATCH($E141,AP_Namen,0)),""))</f>
        <v/>
      </c>
      <c r="G141" t="str">
        <f>IF($E141="","",IFERROR(INDEX(Ansprechpartner!$C$4:$C$80,MATCH($E141,AP_Namen,0)),""))</f>
        <v/>
      </c>
    </row>
    <row r="142" spans="3:7" ht="15" customHeight="1">
      <c r="C142" t="str">
        <f t="shared" si="2"/>
        <v/>
      </c>
      <c r="F142" t="str">
        <f>IF($E142="","",IFERROR(INDEX(Ansprechpartner!$F$4:$F$80,MATCH($E142,AP_Namen,0)),""))</f>
        <v/>
      </c>
      <c r="G142" t="str">
        <f>IF($E142="","",IFERROR(INDEX(Ansprechpartner!$C$4:$C$80,MATCH($E142,AP_Namen,0)),""))</f>
        <v/>
      </c>
    </row>
    <row r="143" spans="3:7" ht="15" customHeight="1">
      <c r="C143" t="str">
        <f t="shared" si="2"/>
        <v/>
      </c>
      <c r="F143" t="str">
        <f>IF($E143="","",IFERROR(INDEX(Ansprechpartner!$F$4:$F$80,MATCH($E143,AP_Namen,0)),""))</f>
        <v/>
      </c>
      <c r="G143" t="str">
        <f>IF($E143="","",IFERROR(INDEX(Ansprechpartner!$C$4:$C$80,MATCH($E143,AP_Namen,0)),""))</f>
        <v/>
      </c>
    </row>
    <row r="144" spans="3:7" ht="15" customHeight="1">
      <c r="C144" t="str">
        <f t="shared" si="2"/>
        <v/>
      </c>
      <c r="F144" t="str">
        <f>IF($E144="","",IFERROR(INDEX(Ansprechpartner!$F$4:$F$80,MATCH($E144,AP_Namen,0)),""))</f>
        <v/>
      </c>
      <c r="G144" t="str">
        <f>IF($E144="","",IFERROR(INDEX(Ansprechpartner!$C$4:$C$80,MATCH($E144,AP_Namen,0)),""))</f>
        <v/>
      </c>
    </row>
    <row r="145" spans="3:7" ht="15" customHeight="1">
      <c r="C145" t="str">
        <f t="shared" si="2"/>
        <v/>
      </c>
      <c r="F145" t="str">
        <f>IF($E145="","",IFERROR(INDEX(Ansprechpartner!$F$4:$F$80,MATCH($E145,AP_Namen,0)),""))</f>
        <v/>
      </c>
      <c r="G145" t="str">
        <f>IF($E145="","",IFERROR(INDEX(Ansprechpartner!$C$4:$C$80,MATCH($E145,AP_Namen,0)),""))</f>
        <v/>
      </c>
    </row>
    <row r="146" spans="3:7" ht="15" customHeight="1">
      <c r="C146" t="str">
        <f t="shared" si="2"/>
        <v/>
      </c>
      <c r="F146" t="str">
        <f>IF($E146="","",IFERROR(INDEX(Ansprechpartner!$F$4:$F$80,MATCH($E146,AP_Namen,0)),""))</f>
        <v/>
      </c>
      <c r="G146" t="str">
        <f>IF($E146="","",IFERROR(INDEX(Ansprechpartner!$C$4:$C$80,MATCH($E146,AP_Namen,0)),""))</f>
        <v/>
      </c>
    </row>
    <row r="147" spans="3:7" ht="15" customHeight="1">
      <c r="C147" t="str">
        <f t="shared" si="2"/>
        <v/>
      </c>
      <c r="F147" t="str">
        <f>IF($E147="","",IFERROR(INDEX(Ansprechpartner!$F$4:$F$80,MATCH($E147,AP_Namen,0)),""))</f>
        <v/>
      </c>
      <c r="G147" t="str">
        <f>IF($E147="","",IFERROR(INDEX(Ansprechpartner!$C$4:$C$80,MATCH($E147,AP_Namen,0)),""))</f>
        <v/>
      </c>
    </row>
    <row r="148" spans="3:7" ht="15" customHeight="1">
      <c r="C148" t="str">
        <f t="shared" si="2"/>
        <v/>
      </c>
      <c r="F148" t="str">
        <f>IF($E148="","",IFERROR(INDEX(Ansprechpartner!$F$4:$F$80,MATCH($E148,AP_Namen,0)),""))</f>
        <v/>
      </c>
      <c r="G148" t="str">
        <f>IF($E148="","",IFERROR(INDEX(Ansprechpartner!$C$4:$C$80,MATCH($E148,AP_Namen,0)),""))</f>
        <v/>
      </c>
    </row>
    <row r="149" spans="3:7" ht="15" customHeight="1">
      <c r="C149" t="str">
        <f t="shared" si="2"/>
        <v/>
      </c>
      <c r="F149" t="str">
        <f>IF($E149="","",IFERROR(INDEX(Ansprechpartner!$F$4:$F$80,MATCH($E149,AP_Namen,0)),""))</f>
        <v/>
      </c>
      <c r="G149" t="str">
        <f>IF($E149="","",IFERROR(INDEX(Ansprechpartner!$C$4:$C$80,MATCH($E149,AP_Namen,0)),""))</f>
        <v/>
      </c>
    </row>
    <row r="150" spans="3:7" ht="15" customHeight="1">
      <c r="C150" t="str">
        <f t="shared" si="2"/>
        <v/>
      </c>
      <c r="F150" t="str">
        <f>IF($E150="","",IFERROR(INDEX(Ansprechpartner!$F$4:$F$80,MATCH($E150,AP_Namen,0)),""))</f>
        <v/>
      </c>
      <c r="G150" t="str">
        <f>IF($E150="","",IFERROR(INDEX(Ansprechpartner!$C$4:$C$80,MATCH($E150,AP_Namen,0)),""))</f>
        <v/>
      </c>
    </row>
    <row r="151" spans="3:7" ht="15" customHeight="1">
      <c r="C151" t="str">
        <f t="shared" si="2"/>
        <v/>
      </c>
      <c r="F151" t="str">
        <f>IF($E151="","",IFERROR(INDEX(Ansprechpartner!$F$4:$F$80,MATCH($E151,AP_Namen,0)),""))</f>
        <v/>
      </c>
      <c r="G151" t="str">
        <f>IF($E151="","",IFERROR(INDEX(Ansprechpartner!$C$4:$C$80,MATCH($E151,AP_Namen,0)),""))</f>
        <v/>
      </c>
    </row>
    <row r="152" spans="3:7" ht="15" customHeight="1">
      <c r="C152" t="str">
        <f t="shared" si="2"/>
        <v/>
      </c>
      <c r="F152" t="str">
        <f>IF($E152="","",IFERROR(INDEX(Ansprechpartner!$F$4:$F$80,MATCH($E152,AP_Namen,0)),""))</f>
        <v/>
      </c>
      <c r="G152" t="str">
        <f>IF($E152="","",IFERROR(INDEX(Ansprechpartner!$C$4:$C$80,MATCH($E152,AP_Namen,0)),""))</f>
        <v/>
      </c>
    </row>
    <row r="153" spans="3:7" ht="15" customHeight="1">
      <c r="C153" t="str">
        <f t="shared" si="2"/>
        <v/>
      </c>
      <c r="F153" t="str">
        <f>IF($E153="","",IFERROR(INDEX(Ansprechpartner!$F$4:$F$80,MATCH($E153,AP_Namen,0)),""))</f>
        <v/>
      </c>
      <c r="G153" t="str">
        <f>IF($E153="","",IFERROR(INDEX(Ansprechpartner!$C$4:$C$80,MATCH($E153,AP_Namen,0)),""))</f>
        <v/>
      </c>
    </row>
    <row r="154" spans="3:7" ht="15" customHeight="1">
      <c r="C154" t="str">
        <f t="shared" si="2"/>
        <v/>
      </c>
      <c r="F154" t="str">
        <f>IF($E154="","",IFERROR(INDEX(Ansprechpartner!$F$4:$F$80,MATCH($E154,AP_Namen,0)),""))</f>
        <v/>
      </c>
      <c r="G154" t="str">
        <f>IF($E154="","",IFERROR(INDEX(Ansprechpartner!$C$4:$C$80,MATCH($E154,AP_Namen,0)),""))</f>
        <v/>
      </c>
    </row>
    <row r="155" spans="3:7" ht="15" customHeight="1">
      <c r="C155" t="str">
        <f t="shared" si="2"/>
        <v/>
      </c>
      <c r="F155" t="str">
        <f>IF($E155="","",IFERROR(INDEX(Ansprechpartner!$F$4:$F$80,MATCH($E155,AP_Namen,0)),""))</f>
        <v/>
      </c>
      <c r="G155" t="str">
        <f>IF($E155="","",IFERROR(INDEX(Ansprechpartner!$C$4:$C$80,MATCH($E155,AP_Namen,0)),""))</f>
        <v/>
      </c>
    </row>
    <row r="156" spans="3:7" ht="15" customHeight="1">
      <c r="C156" t="str">
        <f t="shared" si="2"/>
        <v/>
      </c>
      <c r="F156" t="str">
        <f>IF($E156="","",IFERROR(INDEX(Ansprechpartner!$F$4:$F$80,MATCH($E156,AP_Namen,0)),""))</f>
        <v/>
      </c>
      <c r="G156" t="str">
        <f>IF($E156="","",IFERROR(INDEX(Ansprechpartner!$C$4:$C$80,MATCH($E156,AP_Namen,0)),""))</f>
        <v/>
      </c>
    </row>
    <row r="157" spans="3:7" ht="15" customHeight="1">
      <c r="C157" t="str">
        <f t="shared" si="2"/>
        <v/>
      </c>
      <c r="F157" t="str">
        <f>IF($E157="","",IFERROR(INDEX(Ansprechpartner!$F$4:$F$80,MATCH($E157,AP_Namen,0)),""))</f>
        <v/>
      </c>
      <c r="G157" t="str">
        <f>IF($E157="","",IFERROR(INDEX(Ansprechpartner!$C$4:$C$80,MATCH($E157,AP_Namen,0)),""))</f>
        <v/>
      </c>
    </row>
    <row r="158" spans="3:7" ht="15" customHeight="1">
      <c r="C158" t="str">
        <f t="shared" si="2"/>
        <v/>
      </c>
      <c r="F158" t="str">
        <f>IF($E158="","",IFERROR(INDEX(Ansprechpartner!$F$4:$F$80,MATCH($E158,AP_Namen,0)),""))</f>
        <v/>
      </c>
      <c r="G158" t="str">
        <f>IF($E158="","",IFERROR(INDEX(Ansprechpartner!$C$4:$C$80,MATCH($E158,AP_Namen,0)),""))</f>
        <v/>
      </c>
    </row>
    <row r="159" spans="3:7" ht="15" customHeight="1">
      <c r="C159" t="str">
        <f t="shared" si="2"/>
        <v/>
      </c>
      <c r="F159" t="str">
        <f>IF($E159="","",IFERROR(INDEX(Ansprechpartner!$F$4:$F$80,MATCH($E159,AP_Namen,0)),""))</f>
        <v/>
      </c>
      <c r="G159" t="str">
        <f>IF($E159="","",IFERROR(INDEX(Ansprechpartner!$C$4:$C$80,MATCH($E159,AP_Namen,0)),""))</f>
        <v/>
      </c>
    </row>
    <row r="160" spans="3:7" ht="15" customHeight="1">
      <c r="C160" t="str">
        <f t="shared" si="2"/>
        <v/>
      </c>
      <c r="F160" t="str">
        <f>IF($E160="","",IFERROR(INDEX(Ansprechpartner!$F$4:$F$80,MATCH($E160,AP_Namen,0)),""))</f>
        <v/>
      </c>
      <c r="G160" t="str">
        <f>IF($E160="","",IFERROR(INDEX(Ansprechpartner!$C$4:$C$80,MATCH($E160,AP_Namen,0)),""))</f>
        <v/>
      </c>
    </row>
    <row r="161" spans="3:7" ht="15" customHeight="1">
      <c r="C161" t="str">
        <f t="shared" si="2"/>
        <v/>
      </c>
      <c r="F161" t="str">
        <f>IF($E161="","",IFERROR(INDEX(Ansprechpartner!$F$4:$F$80,MATCH($E161,AP_Namen,0)),""))</f>
        <v/>
      </c>
      <c r="G161" t="str">
        <f>IF($E161="","",IFERROR(INDEX(Ansprechpartner!$C$4:$C$80,MATCH($E161,AP_Namen,0)),""))</f>
        <v/>
      </c>
    </row>
    <row r="162" spans="3:7" ht="15" customHeight="1">
      <c r="C162" t="str">
        <f t="shared" si="2"/>
        <v/>
      </c>
      <c r="F162" t="str">
        <f>IF($E162="","",IFERROR(INDEX(Ansprechpartner!$F$4:$F$80,MATCH($E162,AP_Namen,0)),""))</f>
        <v/>
      </c>
      <c r="G162" t="str">
        <f>IF($E162="","",IFERROR(INDEX(Ansprechpartner!$C$4:$C$80,MATCH($E162,AP_Namen,0)),""))</f>
        <v/>
      </c>
    </row>
    <row r="163" spans="3:7" ht="15" customHeight="1">
      <c r="C163" t="str">
        <f t="shared" si="2"/>
        <v/>
      </c>
      <c r="F163" t="str">
        <f>IF($E163="","",IFERROR(INDEX(Ansprechpartner!$F$4:$F$80,MATCH($E163,AP_Namen,0)),""))</f>
        <v/>
      </c>
      <c r="G163" t="str">
        <f>IF($E163="","",IFERROR(INDEX(Ansprechpartner!$C$4:$C$80,MATCH($E163,AP_Namen,0)),""))</f>
        <v/>
      </c>
    </row>
    <row r="164" spans="3:7" ht="15" customHeight="1">
      <c r="C164" t="str">
        <f t="shared" ref="C164:C227" si="3">IF(B164="","",CHOOSE(WEEKDAY(B164,2),"Montag","Dienstag","Mittwoch","Donnerstag","Freitag","Samstag","Sonntag"))</f>
        <v/>
      </c>
      <c r="F164" t="str">
        <f>IF($E164="","",IFERROR(INDEX(Ansprechpartner!$F$4:$F$80,MATCH($E164,AP_Namen,0)),""))</f>
        <v/>
      </c>
      <c r="G164" t="str">
        <f>IF($E164="","",IFERROR(INDEX(Ansprechpartner!$C$4:$C$80,MATCH($E164,AP_Namen,0)),""))</f>
        <v/>
      </c>
    </row>
    <row r="165" spans="3:7" ht="15" customHeight="1">
      <c r="C165" t="str">
        <f t="shared" si="3"/>
        <v/>
      </c>
      <c r="F165" t="str">
        <f>IF($E165="","",IFERROR(INDEX(Ansprechpartner!$F$4:$F$80,MATCH($E165,AP_Namen,0)),""))</f>
        <v/>
      </c>
      <c r="G165" t="str">
        <f>IF($E165="","",IFERROR(INDEX(Ansprechpartner!$C$4:$C$80,MATCH($E165,AP_Namen,0)),""))</f>
        <v/>
      </c>
    </row>
    <row r="166" spans="3:7" ht="15" customHeight="1">
      <c r="C166" t="str">
        <f t="shared" si="3"/>
        <v/>
      </c>
      <c r="F166" t="str">
        <f>IF($E166="","",IFERROR(INDEX(Ansprechpartner!$F$4:$F$80,MATCH($E166,AP_Namen,0)),""))</f>
        <v/>
      </c>
      <c r="G166" t="str">
        <f>IF($E166="","",IFERROR(INDEX(Ansprechpartner!$C$4:$C$80,MATCH($E166,AP_Namen,0)),""))</f>
        <v/>
      </c>
    </row>
    <row r="167" spans="3:7" ht="15" customHeight="1">
      <c r="C167" t="str">
        <f t="shared" si="3"/>
        <v/>
      </c>
      <c r="F167" t="str">
        <f>IF($E167="","",IFERROR(INDEX(Ansprechpartner!$F$4:$F$80,MATCH($E167,AP_Namen,0)),""))</f>
        <v/>
      </c>
      <c r="G167" t="str">
        <f>IF($E167="","",IFERROR(INDEX(Ansprechpartner!$C$4:$C$80,MATCH($E167,AP_Namen,0)),""))</f>
        <v/>
      </c>
    </row>
    <row r="168" spans="3:7" ht="15" customHeight="1">
      <c r="C168" t="str">
        <f t="shared" si="3"/>
        <v/>
      </c>
      <c r="F168" t="str">
        <f>IF($E168="","",IFERROR(INDEX(Ansprechpartner!$F$4:$F$80,MATCH($E168,AP_Namen,0)),""))</f>
        <v/>
      </c>
      <c r="G168" t="str">
        <f>IF($E168="","",IFERROR(INDEX(Ansprechpartner!$C$4:$C$80,MATCH($E168,AP_Namen,0)),""))</f>
        <v/>
      </c>
    </row>
    <row r="169" spans="3:7" ht="15" customHeight="1">
      <c r="C169" t="str">
        <f t="shared" si="3"/>
        <v/>
      </c>
      <c r="F169" t="str">
        <f>IF($E169="","",IFERROR(INDEX(Ansprechpartner!$F$4:$F$80,MATCH($E169,AP_Namen,0)),""))</f>
        <v/>
      </c>
      <c r="G169" t="str">
        <f>IF($E169="","",IFERROR(INDEX(Ansprechpartner!$C$4:$C$80,MATCH($E169,AP_Namen,0)),""))</f>
        <v/>
      </c>
    </row>
    <row r="170" spans="3:7" ht="15" customHeight="1">
      <c r="C170" t="str">
        <f t="shared" si="3"/>
        <v/>
      </c>
      <c r="F170" t="str">
        <f>IF($E170="","",IFERROR(INDEX(Ansprechpartner!$F$4:$F$80,MATCH($E170,AP_Namen,0)),""))</f>
        <v/>
      </c>
      <c r="G170" t="str">
        <f>IF($E170="","",IFERROR(INDEX(Ansprechpartner!$C$4:$C$80,MATCH($E170,AP_Namen,0)),""))</f>
        <v/>
      </c>
    </row>
    <row r="171" spans="3:7" ht="15" customHeight="1">
      <c r="C171" t="str">
        <f t="shared" si="3"/>
        <v/>
      </c>
      <c r="F171" t="str">
        <f>IF($E171="","",IFERROR(INDEX(Ansprechpartner!$F$4:$F$80,MATCH($E171,AP_Namen,0)),""))</f>
        <v/>
      </c>
      <c r="G171" t="str">
        <f>IF($E171="","",IFERROR(INDEX(Ansprechpartner!$C$4:$C$80,MATCH($E171,AP_Namen,0)),""))</f>
        <v/>
      </c>
    </row>
    <row r="172" spans="3:7" ht="15" customHeight="1">
      <c r="C172" t="str">
        <f t="shared" si="3"/>
        <v/>
      </c>
      <c r="F172" t="str">
        <f>IF($E172="","",IFERROR(INDEX(Ansprechpartner!$F$4:$F$80,MATCH($E172,AP_Namen,0)),""))</f>
        <v/>
      </c>
      <c r="G172" t="str">
        <f>IF($E172="","",IFERROR(INDEX(Ansprechpartner!$C$4:$C$80,MATCH($E172,AP_Namen,0)),""))</f>
        <v/>
      </c>
    </row>
    <row r="173" spans="3:7" ht="15" customHeight="1">
      <c r="C173" t="str">
        <f t="shared" si="3"/>
        <v/>
      </c>
      <c r="F173" t="str">
        <f>IF($E173="","",IFERROR(INDEX(Ansprechpartner!$F$4:$F$80,MATCH($E173,AP_Namen,0)),""))</f>
        <v/>
      </c>
      <c r="G173" t="str">
        <f>IF($E173="","",IFERROR(INDEX(Ansprechpartner!$C$4:$C$80,MATCH($E173,AP_Namen,0)),""))</f>
        <v/>
      </c>
    </row>
    <row r="174" spans="3:7" ht="15" customHeight="1">
      <c r="C174" t="str">
        <f t="shared" si="3"/>
        <v/>
      </c>
      <c r="F174" t="str">
        <f>IF($E174="","",IFERROR(INDEX(Ansprechpartner!$F$4:$F$80,MATCH($E174,AP_Namen,0)),""))</f>
        <v/>
      </c>
      <c r="G174" t="str">
        <f>IF($E174="","",IFERROR(INDEX(Ansprechpartner!$C$4:$C$80,MATCH($E174,AP_Namen,0)),""))</f>
        <v/>
      </c>
    </row>
    <row r="175" spans="3:7" ht="15" customHeight="1">
      <c r="C175" t="str">
        <f t="shared" si="3"/>
        <v/>
      </c>
      <c r="F175" t="str">
        <f>IF($E175="","",IFERROR(INDEX(Ansprechpartner!$F$4:$F$80,MATCH($E175,AP_Namen,0)),""))</f>
        <v/>
      </c>
      <c r="G175" t="str">
        <f>IF($E175="","",IFERROR(INDEX(Ansprechpartner!$C$4:$C$80,MATCH($E175,AP_Namen,0)),""))</f>
        <v/>
      </c>
    </row>
    <row r="176" spans="3:7" ht="15" customHeight="1">
      <c r="C176" t="str">
        <f t="shared" si="3"/>
        <v/>
      </c>
      <c r="F176" t="str">
        <f>IF($E176="","",IFERROR(INDEX(Ansprechpartner!$F$4:$F$80,MATCH($E176,AP_Namen,0)),""))</f>
        <v/>
      </c>
      <c r="G176" t="str">
        <f>IF($E176="","",IFERROR(INDEX(Ansprechpartner!$C$4:$C$80,MATCH($E176,AP_Namen,0)),""))</f>
        <v/>
      </c>
    </row>
    <row r="177" spans="3:7" ht="15" customHeight="1">
      <c r="C177" t="str">
        <f t="shared" si="3"/>
        <v/>
      </c>
      <c r="F177" t="str">
        <f>IF($E177="","",IFERROR(INDEX(Ansprechpartner!$F$4:$F$80,MATCH($E177,AP_Namen,0)),""))</f>
        <v/>
      </c>
      <c r="G177" t="str">
        <f>IF($E177="","",IFERROR(INDEX(Ansprechpartner!$C$4:$C$80,MATCH($E177,AP_Namen,0)),""))</f>
        <v/>
      </c>
    </row>
    <row r="178" spans="3:7" ht="15" customHeight="1">
      <c r="C178" t="str">
        <f t="shared" si="3"/>
        <v/>
      </c>
      <c r="F178" t="str">
        <f>IF($E178="","",IFERROR(INDEX(Ansprechpartner!$F$4:$F$80,MATCH($E178,AP_Namen,0)),""))</f>
        <v/>
      </c>
      <c r="G178" t="str">
        <f>IF($E178="","",IFERROR(INDEX(Ansprechpartner!$C$4:$C$80,MATCH($E178,AP_Namen,0)),""))</f>
        <v/>
      </c>
    </row>
    <row r="179" spans="3:7" ht="15" customHeight="1">
      <c r="C179" t="str">
        <f t="shared" si="3"/>
        <v/>
      </c>
      <c r="F179" t="str">
        <f>IF($E179="","",IFERROR(INDEX(Ansprechpartner!$F$4:$F$80,MATCH($E179,AP_Namen,0)),""))</f>
        <v/>
      </c>
      <c r="G179" t="str">
        <f>IF($E179="","",IFERROR(INDEX(Ansprechpartner!$C$4:$C$80,MATCH($E179,AP_Namen,0)),""))</f>
        <v/>
      </c>
    </row>
    <row r="180" spans="3:7" ht="15" customHeight="1">
      <c r="C180" t="str">
        <f t="shared" si="3"/>
        <v/>
      </c>
      <c r="F180" t="str">
        <f>IF($E180="","",IFERROR(INDEX(Ansprechpartner!$F$4:$F$80,MATCH($E180,AP_Namen,0)),""))</f>
        <v/>
      </c>
      <c r="G180" t="str">
        <f>IF($E180="","",IFERROR(INDEX(Ansprechpartner!$C$4:$C$80,MATCH($E180,AP_Namen,0)),""))</f>
        <v/>
      </c>
    </row>
    <row r="181" spans="3:7" ht="15" customHeight="1">
      <c r="C181" t="str">
        <f t="shared" si="3"/>
        <v/>
      </c>
      <c r="F181" t="str">
        <f>IF($E181="","",IFERROR(INDEX(Ansprechpartner!$F$4:$F$80,MATCH($E181,AP_Namen,0)),""))</f>
        <v/>
      </c>
      <c r="G181" t="str">
        <f>IF($E181="","",IFERROR(INDEX(Ansprechpartner!$C$4:$C$80,MATCH($E181,AP_Namen,0)),""))</f>
        <v/>
      </c>
    </row>
    <row r="182" spans="3:7" ht="15" customHeight="1">
      <c r="C182" t="str">
        <f t="shared" si="3"/>
        <v/>
      </c>
      <c r="F182" t="str">
        <f>IF($E182="","",IFERROR(INDEX(Ansprechpartner!$F$4:$F$80,MATCH($E182,AP_Namen,0)),""))</f>
        <v/>
      </c>
      <c r="G182" t="str">
        <f>IF($E182="","",IFERROR(INDEX(Ansprechpartner!$C$4:$C$80,MATCH($E182,AP_Namen,0)),""))</f>
        <v/>
      </c>
    </row>
    <row r="183" spans="3:7" ht="15" customHeight="1">
      <c r="C183" t="str">
        <f t="shared" si="3"/>
        <v/>
      </c>
      <c r="F183" t="str">
        <f>IF($E183="","",IFERROR(INDEX(Ansprechpartner!$F$4:$F$80,MATCH($E183,AP_Namen,0)),""))</f>
        <v/>
      </c>
      <c r="G183" t="str">
        <f>IF($E183="","",IFERROR(INDEX(Ansprechpartner!$C$4:$C$80,MATCH($E183,AP_Namen,0)),""))</f>
        <v/>
      </c>
    </row>
    <row r="184" spans="3:7" ht="15" customHeight="1">
      <c r="C184" t="str">
        <f t="shared" si="3"/>
        <v/>
      </c>
      <c r="F184" t="str">
        <f>IF($E184="","",IFERROR(INDEX(Ansprechpartner!$F$4:$F$80,MATCH($E184,AP_Namen,0)),""))</f>
        <v/>
      </c>
      <c r="G184" t="str">
        <f>IF($E184="","",IFERROR(INDEX(Ansprechpartner!$C$4:$C$80,MATCH($E184,AP_Namen,0)),""))</f>
        <v/>
      </c>
    </row>
    <row r="185" spans="3:7" ht="15" customHeight="1">
      <c r="C185" t="str">
        <f t="shared" si="3"/>
        <v/>
      </c>
      <c r="F185" t="str">
        <f>IF($E185="","",IFERROR(INDEX(Ansprechpartner!$F$4:$F$80,MATCH($E185,AP_Namen,0)),""))</f>
        <v/>
      </c>
      <c r="G185" t="str">
        <f>IF($E185="","",IFERROR(INDEX(Ansprechpartner!$C$4:$C$80,MATCH($E185,AP_Namen,0)),""))</f>
        <v/>
      </c>
    </row>
    <row r="186" spans="3:7" ht="15" customHeight="1">
      <c r="C186" t="str">
        <f t="shared" si="3"/>
        <v/>
      </c>
      <c r="F186" t="str">
        <f>IF($E186="","",IFERROR(INDEX(Ansprechpartner!$F$4:$F$80,MATCH($E186,AP_Namen,0)),""))</f>
        <v/>
      </c>
      <c r="G186" t="str">
        <f>IF($E186="","",IFERROR(INDEX(Ansprechpartner!$C$4:$C$80,MATCH($E186,AP_Namen,0)),""))</f>
        <v/>
      </c>
    </row>
    <row r="187" spans="3:7" ht="15" customHeight="1">
      <c r="C187" t="str">
        <f t="shared" si="3"/>
        <v/>
      </c>
      <c r="F187" t="str">
        <f>IF($E187="","",IFERROR(INDEX(Ansprechpartner!$F$4:$F$80,MATCH($E187,AP_Namen,0)),""))</f>
        <v/>
      </c>
      <c r="G187" t="str">
        <f>IF($E187="","",IFERROR(INDEX(Ansprechpartner!$C$4:$C$80,MATCH($E187,AP_Namen,0)),""))</f>
        <v/>
      </c>
    </row>
    <row r="188" spans="3:7" ht="15" customHeight="1">
      <c r="C188" t="str">
        <f t="shared" si="3"/>
        <v/>
      </c>
      <c r="F188" t="str">
        <f>IF($E188="","",IFERROR(INDEX(Ansprechpartner!$F$4:$F$80,MATCH($E188,AP_Namen,0)),""))</f>
        <v/>
      </c>
      <c r="G188" t="str">
        <f>IF($E188="","",IFERROR(INDEX(Ansprechpartner!$C$4:$C$80,MATCH($E188,AP_Namen,0)),""))</f>
        <v/>
      </c>
    </row>
    <row r="189" spans="3:7" ht="15" customHeight="1">
      <c r="C189" t="str">
        <f t="shared" si="3"/>
        <v/>
      </c>
      <c r="F189" t="str">
        <f>IF($E189="","",IFERROR(INDEX(Ansprechpartner!$F$4:$F$80,MATCH($E189,AP_Namen,0)),""))</f>
        <v/>
      </c>
      <c r="G189" t="str">
        <f>IF($E189="","",IFERROR(INDEX(Ansprechpartner!$C$4:$C$80,MATCH($E189,AP_Namen,0)),""))</f>
        <v/>
      </c>
    </row>
    <row r="190" spans="3:7" ht="15" customHeight="1">
      <c r="C190" t="str">
        <f t="shared" si="3"/>
        <v/>
      </c>
      <c r="F190" t="str">
        <f>IF($E190="","",IFERROR(INDEX(Ansprechpartner!$F$4:$F$80,MATCH($E190,AP_Namen,0)),""))</f>
        <v/>
      </c>
      <c r="G190" t="str">
        <f>IF($E190="","",IFERROR(INDEX(Ansprechpartner!$C$4:$C$80,MATCH($E190,AP_Namen,0)),""))</f>
        <v/>
      </c>
    </row>
    <row r="191" spans="3:7" ht="15" customHeight="1">
      <c r="C191" t="str">
        <f t="shared" si="3"/>
        <v/>
      </c>
      <c r="F191" t="str">
        <f>IF($E191="","",IFERROR(INDEX(Ansprechpartner!$F$4:$F$80,MATCH($E191,AP_Namen,0)),""))</f>
        <v/>
      </c>
      <c r="G191" t="str">
        <f>IF($E191="","",IFERROR(INDEX(Ansprechpartner!$C$4:$C$80,MATCH($E191,AP_Namen,0)),""))</f>
        <v/>
      </c>
    </row>
    <row r="192" spans="3:7" ht="15" customHeight="1">
      <c r="C192" t="str">
        <f t="shared" si="3"/>
        <v/>
      </c>
      <c r="F192" t="str">
        <f>IF($E192="","",IFERROR(INDEX(Ansprechpartner!$F$4:$F$80,MATCH($E192,AP_Namen,0)),""))</f>
        <v/>
      </c>
      <c r="G192" t="str">
        <f>IF($E192="","",IFERROR(INDEX(Ansprechpartner!$C$4:$C$80,MATCH($E192,AP_Namen,0)),""))</f>
        <v/>
      </c>
    </row>
    <row r="193" spans="3:7" ht="15" customHeight="1">
      <c r="C193" t="str">
        <f t="shared" si="3"/>
        <v/>
      </c>
      <c r="F193" t="str">
        <f>IF($E193="","",IFERROR(INDEX(Ansprechpartner!$F$4:$F$80,MATCH($E193,AP_Namen,0)),""))</f>
        <v/>
      </c>
      <c r="G193" t="str">
        <f>IF($E193="","",IFERROR(INDEX(Ansprechpartner!$C$4:$C$80,MATCH($E193,AP_Namen,0)),""))</f>
        <v/>
      </c>
    </row>
    <row r="194" spans="3:7" ht="15" customHeight="1">
      <c r="C194" t="str">
        <f t="shared" si="3"/>
        <v/>
      </c>
      <c r="F194" t="str">
        <f>IF($E194="","",IFERROR(INDEX(Ansprechpartner!$F$4:$F$80,MATCH($E194,AP_Namen,0)),""))</f>
        <v/>
      </c>
      <c r="G194" t="str">
        <f>IF($E194="","",IFERROR(INDEX(Ansprechpartner!$C$4:$C$80,MATCH($E194,AP_Namen,0)),""))</f>
        <v/>
      </c>
    </row>
    <row r="195" spans="3:7" ht="15" customHeight="1">
      <c r="C195" t="str">
        <f t="shared" si="3"/>
        <v/>
      </c>
      <c r="F195" t="str">
        <f>IF($E195="","",IFERROR(INDEX(Ansprechpartner!$F$4:$F$80,MATCH($E195,AP_Namen,0)),""))</f>
        <v/>
      </c>
      <c r="G195" t="str">
        <f>IF($E195="","",IFERROR(INDEX(Ansprechpartner!$C$4:$C$80,MATCH($E195,AP_Namen,0)),""))</f>
        <v/>
      </c>
    </row>
    <row r="196" spans="3:7" ht="15" customHeight="1">
      <c r="C196" t="str">
        <f t="shared" si="3"/>
        <v/>
      </c>
      <c r="F196" t="str">
        <f>IF($E196="","",IFERROR(INDEX(Ansprechpartner!$F$4:$F$80,MATCH($E196,AP_Namen,0)),""))</f>
        <v/>
      </c>
      <c r="G196" t="str">
        <f>IF($E196="","",IFERROR(INDEX(Ansprechpartner!$C$4:$C$80,MATCH($E196,AP_Namen,0)),""))</f>
        <v/>
      </c>
    </row>
    <row r="197" spans="3:7" ht="15" customHeight="1">
      <c r="C197" t="str">
        <f t="shared" si="3"/>
        <v/>
      </c>
      <c r="F197" t="str">
        <f>IF($E197="","",IFERROR(INDEX(Ansprechpartner!$F$4:$F$80,MATCH($E197,AP_Namen,0)),""))</f>
        <v/>
      </c>
      <c r="G197" t="str">
        <f>IF($E197="","",IFERROR(INDEX(Ansprechpartner!$C$4:$C$80,MATCH($E197,AP_Namen,0)),""))</f>
        <v/>
      </c>
    </row>
    <row r="198" spans="3:7" ht="15" customHeight="1">
      <c r="C198" t="str">
        <f t="shared" si="3"/>
        <v/>
      </c>
      <c r="F198" t="str">
        <f>IF($E198="","",IFERROR(INDEX(Ansprechpartner!$F$4:$F$80,MATCH($E198,AP_Namen,0)),""))</f>
        <v/>
      </c>
      <c r="G198" t="str">
        <f>IF($E198="","",IFERROR(INDEX(Ansprechpartner!$C$4:$C$80,MATCH($E198,AP_Namen,0)),""))</f>
        <v/>
      </c>
    </row>
    <row r="199" spans="3:7" ht="15" customHeight="1">
      <c r="C199" t="str">
        <f t="shared" si="3"/>
        <v/>
      </c>
      <c r="F199" t="str">
        <f>IF($E199="","",IFERROR(INDEX(Ansprechpartner!$F$4:$F$80,MATCH($E199,AP_Namen,0)),""))</f>
        <v/>
      </c>
      <c r="G199" t="str">
        <f>IF($E199="","",IFERROR(INDEX(Ansprechpartner!$C$4:$C$80,MATCH($E199,AP_Namen,0)),""))</f>
        <v/>
      </c>
    </row>
    <row r="200" spans="3:7" ht="15" customHeight="1">
      <c r="C200" t="str">
        <f t="shared" si="3"/>
        <v/>
      </c>
      <c r="F200" t="str">
        <f>IF($E200="","",IFERROR(INDEX(Ansprechpartner!$F$4:$F$80,MATCH($E200,AP_Namen,0)),""))</f>
        <v/>
      </c>
      <c r="G200" t="str">
        <f>IF($E200="","",IFERROR(INDEX(Ansprechpartner!$C$4:$C$80,MATCH($E200,AP_Namen,0)),""))</f>
        <v/>
      </c>
    </row>
    <row r="201" spans="3:7" ht="15" customHeight="1">
      <c r="C201" t="str">
        <f t="shared" si="3"/>
        <v/>
      </c>
      <c r="F201" t="str">
        <f>IF($E201="","",IFERROR(INDEX(Ansprechpartner!$F$4:$F$80,MATCH($E201,AP_Namen,0)),""))</f>
        <v/>
      </c>
      <c r="G201" t="str">
        <f>IF($E201="","",IFERROR(INDEX(Ansprechpartner!$C$4:$C$80,MATCH($E201,AP_Namen,0)),""))</f>
        <v/>
      </c>
    </row>
    <row r="202" spans="3:7" ht="15" customHeight="1">
      <c r="C202" t="str">
        <f t="shared" si="3"/>
        <v/>
      </c>
      <c r="F202" t="str">
        <f>IF($E202="","",IFERROR(INDEX(Ansprechpartner!$F$4:$F$80,MATCH($E202,AP_Namen,0)),""))</f>
        <v/>
      </c>
      <c r="G202" t="str">
        <f>IF($E202="","",IFERROR(INDEX(Ansprechpartner!$C$4:$C$80,MATCH($E202,AP_Namen,0)),""))</f>
        <v/>
      </c>
    </row>
    <row r="203" spans="3:7" ht="15" customHeight="1">
      <c r="C203" t="str">
        <f t="shared" si="3"/>
        <v/>
      </c>
      <c r="F203" t="str">
        <f>IF($E203="","",IFERROR(INDEX(Ansprechpartner!$F$4:$F$80,MATCH($E203,AP_Namen,0)),""))</f>
        <v/>
      </c>
      <c r="G203" t="str">
        <f>IF($E203="","",IFERROR(INDEX(Ansprechpartner!$C$4:$C$80,MATCH($E203,AP_Namen,0)),""))</f>
        <v/>
      </c>
    </row>
    <row r="204" spans="3:7" ht="15" customHeight="1">
      <c r="C204" t="str">
        <f t="shared" si="3"/>
        <v/>
      </c>
      <c r="F204" t="str">
        <f>IF($E204="","",IFERROR(INDEX(Ansprechpartner!$F$4:$F$80,MATCH($E204,AP_Namen,0)),""))</f>
        <v/>
      </c>
      <c r="G204" t="str">
        <f>IF($E204="","",IFERROR(INDEX(Ansprechpartner!$C$4:$C$80,MATCH($E204,AP_Namen,0)),""))</f>
        <v/>
      </c>
    </row>
    <row r="205" spans="3:7" ht="15" customHeight="1">
      <c r="C205" t="str">
        <f t="shared" si="3"/>
        <v/>
      </c>
      <c r="F205" t="str">
        <f>IF($E205="","",IFERROR(INDEX(Ansprechpartner!$F$4:$F$80,MATCH($E205,AP_Namen,0)),""))</f>
        <v/>
      </c>
      <c r="G205" t="str">
        <f>IF($E205="","",IFERROR(INDEX(Ansprechpartner!$C$4:$C$80,MATCH($E205,AP_Namen,0)),""))</f>
        <v/>
      </c>
    </row>
    <row r="206" spans="3:7" ht="15" customHeight="1">
      <c r="C206" t="str">
        <f t="shared" si="3"/>
        <v/>
      </c>
      <c r="F206" t="str">
        <f>IF($E206="","",IFERROR(INDEX(Ansprechpartner!$F$4:$F$80,MATCH($E206,AP_Namen,0)),""))</f>
        <v/>
      </c>
      <c r="G206" t="str">
        <f>IF($E206="","",IFERROR(INDEX(Ansprechpartner!$C$4:$C$80,MATCH($E206,AP_Namen,0)),""))</f>
        <v/>
      </c>
    </row>
    <row r="207" spans="3:7" ht="15" customHeight="1">
      <c r="C207" t="str">
        <f t="shared" si="3"/>
        <v/>
      </c>
      <c r="F207" t="str">
        <f>IF($E207="","",IFERROR(INDEX(Ansprechpartner!$F$4:$F$80,MATCH($E207,AP_Namen,0)),""))</f>
        <v/>
      </c>
      <c r="G207" t="str">
        <f>IF($E207="","",IFERROR(INDEX(Ansprechpartner!$C$4:$C$80,MATCH($E207,AP_Namen,0)),""))</f>
        <v/>
      </c>
    </row>
    <row r="208" spans="3:7" ht="15" customHeight="1">
      <c r="C208" t="str">
        <f t="shared" si="3"/>
        <v/>
      </c>
      <c r="F208" t="str">
        <f>IF($E208="","",IFERROR(INDEX(Ansprechpartner!$F$4:$F$80,MATCH($E208,AP_Namen,0)),""))</f>
        <v/>
      </c>
      <c r="G208" t="str">
        <f>IF($E208="","",IFERROR(INDEX(Ansprechpartner!$C$4:$C$80,MATCH($E208,AP_Namen,0)),""))</f>
        <v/>
      </c>
    </row>
    <row r="209" spans="3:7" ht="15" customHeight="1">
      <c r="C209" t="str">
        <f t="shared" si="3"/>
        <v/>
      </c>
      <c r="F209" t="str">
        <f>IF($E209="","",IFERROR(INDEX(Ansprechpartner!$F$4:$F$80,MATCH($E209,AP_Namen,0)),""))</f>
        <v/>
      </c>
      <c r="G209" t="str">
        <f>IF($E209="","",IFERROR(INDEX(Ansprechpartner!$C$4:$C$80,MATCH($E209,AP_Namen,0)),""))</f>
        <v/>
      </c>
    </row>
    <row r="210" spans="3:7" ht="15" customHeight="1">
      <c r="C210" t="str">
        <f t="shared" si="3"/>
        <v/>
      </c>
      <c r="F210" t="str">
        <f>IF($E210="","",IFERROR(INDEX(Ansprechpartner!$F$4:$F$80,MATCH($E210,AP_Namen,0)),""))</f>
        <v/>
      </c>
      <c r="G210" t="str">
        <f>IF($E210="","",IFERROR(INDEX(Ansprechpartner!$C$4:$C$80,MATCH($E210,AP_Namen,0)),""))</f>
        <v/>
      </c>
    </row>
    <row r="211" spans="3:7" ht="15" customHeight="1">
      <c r="C211" t="str">
        <f t="shared" si="3"/>
        <v/>
      </c>
      <c r="F211" t="str">
        <f>IF($E211="","",IFERROR(INDEX(Ansprechpartner!$F$4:$F$80,MATCH($E211,AP_Namen,0)),""))</f>
        <v/>
      </c>
      <c r="G211" t="str">
        <f>IF($E211="","",IFERROR(INDEX(Ansprechpartner!$C$4:$C$80,MATCH($E211,AP_Namen,0)),""))</f>
        <v/>
      </c>
    </row>
    <row r="212" spans="3:7" ht="15" customHeight="1">
      <c r="C212" t="str">
        <f t="shared" si="3"/>
        <v/>
      </c>
      <c r="F212" t="str">
        <f>IF($E212="","",IFERROR(INDEX(Ansprechpartner!$F$4:$F$80,MATCH($E212,AP_Namen,0)),""))</f>
        <v/>
      </c>
      <c r="G212" t="str">
        <f>IF($E212="","",IFERROR(INDEX(Ansprechpartner!$C$4:$C$80,MATCH($E212,AP_Namen,0)),""))</f>
        <v/>
      </c>
    </row>
    <row r="213" spans="3:7" ht="15" customHeight="1">
      <c r="C213" t="str">
        <f t="shared" si="3"/>
        <v/>
      </c>
      <c r="F213" t="str">
        <f>IF($E213="","",IFERROR(INDEX(Ansprechpartner!$F$4:$F$80,MATCH($E213,AP_Namen,0)),""))</f>
        <v/>
      </c>
      <c r="G213" t="str">
        <f>IF($E213="","",IFERROR(INDEX(Ansprechpartner!$C$4:$C$80,MATCH($E213,AP_Namen,0)),""))</f>
        <v/>
      </c>
    </row>
    <row r="214" spans="3:7" ht="15" customHeight="1">
      <c r="C214" t="str">
        <f t="shared" si="3"/>
        <v/>
      </c>
      <c r="F214" t="str">
        <f>IF($E214="","",IFERROR(INDEX(Ansprechpartner!$F$4:$F$80,MATCH($E214,AP_Namen,0)),""))</f>
        <v/>
      </c>
      <c r="G214" t="str">
        <f>IF($E214="","",IFERROR(INDEX(Ansprechpartner!$C$4:$C$80,MATCH($E214,AP_Namen,0)),""))</f>
        <v/>
      </c>
    </row>
    <row r="215" spans="3:7" ht="15" customHeight="1">
      <c r="C215" t="str">
        <f t="shared" si="3"/>
        <v/>
      </c>
      <c r="F215" t="str">
        <f>IF($E215="","",IFERROR(INDEX(Ansprechpartner!$F$4:$F$80,MATCH($E215,AP_Namen,0)),""))</f>
        <v/>
      </c>
      <c r="G215" t="str">
        <f>IF($E215="","",IFERROR(INDEX(Ansprechpartner!$C$4:$C$80,MATCH($E215,AP_Namen,0)),""))</f>
        <v/>
      </c>
    </row>
    <row r="216" spans="3:7" ht="15" customHeight="1">
      <c r="C216" t="str">
        <f t="shared" si="3"/>
        <v/>
      </c>
      <c r="F216" t="str">
        <f>IF($E216="","",IFERROR(INDEX(Ansprechpartner!$F$4:$F$80,MATCH($E216,AP_Namen,0)),""))</f>
        <v/>
      </c>
      <c r="G216" t="str">
        <f>IF($E216="","",IFERROR(INDEX(Ansprechpartner!$C$4:$C$80,MATCH($E216,AP_Namen,0)),""))</f>
        <v/>
      </c>
    </row>
    <row r="217" spans="3:7" ht="15" customHeight="1">
      <c r="C217" t="str">
        <f t="shared" si="3"/>
        <v/>
      </c>
      <c r="F217" t="str">
        <f>IF($E217="","",IFERROR(INDEX(Ansprechpartner!$F$4:$F$80,MATCH($E217,AP_Namen,0)),""))</f>
        <v/>
      </c>
      <c r="G217" t="str">
        <f>IF($E217="","",IFERROR(INDEX(Ansprechpartner!$C$4:$C$80,MATCH($E217,AP_Namen,0)),""))</f>
        <v/>
      </c>
    </row>
    <row r="218" spans="3:7" ht="15" customHeight="1">
      <c r="C218" t="str">
        <f t="shared" si="3"/>
        <v/>
      </c>
      <c r="F218" t="str">
        <f>IF($E218="","",IFERROR(INDEX(Ansprechpartner!$F$4:$F$80,MATCH($E218,AP_Namen,0)),""))</f>
        <v/>
      </c>
      <c r="G218" t="str">
        <f>IF($E218="","",IFERROR(INDEX(Ansprechpartner!$C$4:$C$80,MATCH($E218,AP_Namen,0)),""))</f>
        <v/>
      </c>
    </row>
    <row r="219" spans="3:7" ht="15" customHeight="1">
      <c r="C219" t="str">
        <f t="shared" si="3"/>
        <v/>
      </c>
      <c r="F219" t="str">
        <f>IF($E219="","",IFERROR(INDEX(Ansprechpartner!$F$4:$F$80,MATCH($E219,AP_Namen,0)),""))</f>
        <v/>
      </c>
      <c r="G219" t="str">
        <f>IF($E219="","",IFERROR(INDEX(Ansprechpartner!$C$4:$C$80,MATCH($E219,AP_Namen,0)),""))</f>
        <v/>
      </c>
    </row>
    <row r="220" spans="3:7" ht="15" customHeight="1">
      <c r="C220" t="str">
        <f t="shared" si="3"/>
        <v/>
      </c>
      <c r="F220" t="str">
        <f>IF($E220="","",IFERROR(INDEX(Ansprechpartner!$F$4:$F$80,MATCH($E220,AP_Namen,0)),""))</f>
        <v/>
      </c>
      <c r="G220" t="str">
        <f>IF($E220="","",IFERROR(INDEX(Ansprechpartner!$C$4:$C$80,MATCH($E220,AP_Namen,0)),""))</f>
        <v/>
      </c>
    </row>
    <row r="221" spans="3:7" ht="15" customHeight="1">
      <c r="C221" t="str">
        <f t="shared" si="3"/>
        <v/>
      </c>
      <c r="F221" t="str">
        <f>IF($E221="","",IFERROR(INDEX(Ansprechpartner!$F$4:$F$80,MATCH($E221,AP_Namen,0)),""))</f>
        <v/>
      </c>
      <c r="G221" t="str">
        <f>IF($E221="","",IFERROR(INDEX(Ansprechpartner!$C$4:$C$80,MATCH($E221,AP_Namen,0)),""))</f>
        <v/>
      </c>
    </row>
    <row r="222" spans="3:7" ht="15" customHeight="1">
      <c r="C222" t="str">
        <f t="shared" si="3"/>
        <v/>
      </c>
      <c r="F222" t="str">
        <f>IF($E222="","",IFERROR(INDEX(Ansprechpartner!$F$4:$F$80,MATCH($E222,AP_Namen,0)),""))</f>
        <v/>
      </c>
      <c r="G222" t="str">
        <f>IF($E222="","",IFERROR(INDEX(Ansprechpartner!$C$4:$C$80,MATCH($E222,AP_Namen,0)),""))</f>
        <v/>
      </c>
    </row>
    <row r="223" spans="3:7" ht="15" customHeight="1">
      <c r="C223" t="str">
        <f t="shared" si="3"/>
        <v/>
      </c>
      <c r="F223" t="str">
        <f>IF($E223="","",IFERROR(INDEX(Ansprechpartner!$F$4:$F$80,MATCH($E223,AP_Namen,0)),""))</f>
        <v/>
      </c>
      <c r="G223" t="str">
        <f>IF($E223="","",IFERROR(INDEX(Ansprechpartner!$C$4:$C$80,MATCH($E223,AP_Namen,0)),""))</f>
        <v/>
      </c>
    </row>
    <row r="224" spans="3:7" ht="15" customHeight="1">
      <c r="C224" t="str">
        <f t="shared" si="3"/>
        <v/>
      </c>
      <c r="F224" t="str">
        <f>IF($E224="","",IFERROR(INDEX(Ansprechpartner!$F$4:$F$80,MATCH($E224,AP_Namen,0)),""))</f>
        <v/>
      </c>
      <c r="G224" t="str">
        <f>IF($E224="","",IFERROR(INDEX(Ansprechpartner!$C$4:$C$80,MATCH($E224,AP_Namen,0)),""))</f>
        <v/>
      </c>
    </row>
    <row r="225" spans="3:7" ht="15" customHeight="1">
      <c r="C225" t="str">
        <f t="shared" si="3"/>
        <v/>
      </c>
      <c r="F225" t="str">
        <f>IF($E225="","",IFERROR(INDEX(Ansprechpartner!$F$4:$F$80,MATCH($E225,AP_Namen,0)),""))</f>
        <v/>
      </c>
      <c r="G225" t="str">
        <f>IF($E225="","",IFERROR(INDEX(Ansprechpartner!$C$4:$C$80,MATCH($E225,AP_Namen,0)),""))</f>
        <v/>
      </c>
    </row>
    <row r="226" spans="3:7" ht="15" customHeight="1">
      <c r="C226" t="str">
        <f t="shared" si="3"/>
        <v/>
      </c>
      <c r="F226" t="str">
        <f>IF($E226="","",IFERROR(INDEX(Ansprechpartner!$F$4:$F$80,MATCH($E226,AP_Namen,0)),""))</f>
        <v/>
      </c>
      <c r="G226" t="str">
        <f>IF($E226="","",IFERROR(INDEX(Ansprechpartner!$C$4:$C$80,MATCH($E226,AP_Namen,0)),""))</f>
        <v/>
      </c>
    </row>
    <row r="227" spans="3:7" ht="15" customHeight="1">
      <c r="C227" t="str">
        <f t="shared" si="3"/>
        <v/>
      </c>
      <c r="F227" t="str">
        <f>IF($E227="","",IFERROR(INDEX(Ansprechpartner!$F$4:$F$80,MATCH($E227,AP_Namen,0)),""))</f>
        <v/>
      </c>
      <c r="G227" t="str">
        <f>IF($E227="","",IFERROR(INDEX(Ansprechpartner!$C$4:$C$80,MATCH($E227,AP_Namen,0)),""))</f>
        <v/>
      </c>
    </row>
    <row r="228" spans="3:7" ht="15" customHeight="1">
      <c r="C228" t="str">
        <f t="shared" ref="C228:C291" si="4">IF(B228="","",CHOOSE(WEEKDAY(B228,2),"Montag","Dienstag","Mittwoch","Donnerstag","Freitag","Samstag","Sonntag"))</f>
        <v/>
      </c>
      <c r="F228" t="str">
        <f>IF($E228="","",IFERROR(INDEX(Ansprechpartner!$F$4:$F$80,MATCH($E228,AP_Namen,0)),""))</f>
        <v/>
      </c>
      <c r="G228" t="str">
        <f>IF($E228="","",IFERROR(INDEX(Ansprechpartner!$C$4:$C$80,MATCH($E228,AP_Namen,0)),""))</f>
        <v/>
      </c>
    </row>
    <row r="229" spans="3:7" ht="15" customHeight="1">
      <c r="C229" t="str">
        <f t="shared" si="4"/>
        <v/>
      </c>
      <c r="F229" t="str">
        <f>IF($E229="","",IFERROR(INDEX(Ansprechpartner!$F$4:$F$80,MATCH($E229,AP_Namen,0)),""))</f>
        <v/>
      </c>
      <c r="G229" t="str">
        <f>IF($E229="","",IFERROR(INDEX(Ansprechpartner!$C$4:$C$80,MATCH($E229,AP_Namen,0)),""))</f>
        <v/>
      </c>
    </row>
    <row r="230" spans="3:7" ht="15" customHeight="1">
      <c r="C230" t="str">
        <f t="shared" si="4"/>
        <v/>
      </c>
      <c r="F230" t="str">
        <f>IF($E230="","",IFERROR(INDEX(Ansprechpartner!$F$4:$F$80,MATCH($E230,AP_Namen,0)),""))</f>
        <v/>
      </c>
      <c r="G230" t="str">
        <f>IF($E230="","",IFERROR(INDEX(Ansprechpartner!$C$4:$C$80,MATCH($E230,AP_Namen,0)),""))</f>
        <v/>
      </c>
    </row>
    <row r="231" spans="3:7" ht="15" customHeight="1">
      <c r="C231" t="str">
        <f t="shared" si="4"/>
        <v/>
      </c>
      <c r="F231" t="str">
        <f>IF($E231="","",IFERROR(INDEX(Ansprechpartner!$F$4:$F$80,MATCH($E231,AP_Namen,0)),""))</f>
        <v/>
      </c>
      <c r="G231" t="str">
        <f>IF($E231="","",IFERROR(INDEX(Ansprechpartner!$C$4:$C$80,MATCH($E231,AP_Namen,0)),""))</f>
        <v/>
      </c>
    </row>
    <row r="232" spans="3:7" ht="15" customHeight="1">
      <c r="C232" t="str">
        <f t="shared" si="4"/>
        <v/>
      </c>
      <c r="F232" t="str">
        <f>IF($E232="","",IFERROR(INDEX(Ansprechpartner!$F$4:$F$80,MATCH($E232,AP_Namen,0)),""))</f>
        <v/>
      </c>
      <c r="G232" t="str">
        <f>IF($E232="","",IFERROR(INDEX(Ansprechpartner!$C$4:$C$80,MATCH($E232,AP_Namen,0)),""))</f>
        <v/>
      </c>
    </row>
    <row r="233" spans="3:7" ht="15" customHeight="1">
      <c r="C233" t="str">
        <f t="shared" si="4"/>
        <v/>
      </c>
      <c r="F233" t="str">
        <f>IF($E233="","",IFERROR(INDEX(Ansprechpartner!$F$4:$F$80,MATCH($E233,AP_Namen,0)),""))</f>
        <v/>
      </c>
      <c r="G233" t="str">
        <f>IF($E233="","",IFERROR(INDEX(Ansprechpartner!$C$4:$C$80,MATCH($E233,AP_Namen,0)),""))</f>
        <v/>
      </c>
    </row>
    <row r="234" spans="3:7" ht="15" customHeight="1">
      <c r="C234" t="str">
        <f t="shared" si="4"/>
        <v/>
      </c>
      <c r="F234" t="str">
        <f>IF($E234="","",IFERROR(INDEX(Ansprechpartner!$F$4:$F$80,MATCH($E234,AP_Namen,0)),""))</f>
        <v/>
      </c>
      <c r="G234" t="str">
        <f>IF($E234="","",IFERROR(INDEX(Ansprechpartner!$C$4:$C$80,MATCH($E234,AP_Namen,0)),""))</f>
        <v/>
      </c>
    </row>
    <row r="235" spans="3:7" ht="15" customHeight="1">
      <c r="C235" t="str">
        <f t="shared" si="4"/>
        <v/>
      </c>
      <c r="F235" t="str">
        <f>IF($E235="","",IFERROR(INDEX(Ansprechpartner!$F$4:$F$80,MATCH($E235,AP_Namen,0)),""))</f>
        <v/>
      </c>
      <c r="G235" t="str">
        <f>IF($E235="","",IFERROR(INDEX(Ansprechpartner!$C$4:$C$80,MATCH($E235,AP_Namen,0)),""))</f>
        <v/>
      </c>
    </row>
    <row r="236" spans="3:7" ht="15" customHeight="1">
      <c r="C236" t="str">
        <f t="shared" si="4"/>
        <v/>
      </c>
      <c r="F236" t="str">
        <f>IF($E236="","",IFERROR(INDEX(Ansprechpartner!$F$4:$F$80,MATCH($E236,AP_Namen,0)),""))</f>
        <v/>
      </c>
      <c r="G236" t="str">
        <f>IF($E236="","",IFERROR(INDEX(Ansprechpartner!$C$4:$C$80,MATCH($E236,AP_Namen,0)),""))</f>
        <v/>
      </c>
    </row>
    <row r="237" spans="3:7" ht="15" customHeight="1">
      <c r="C237" t="str">
        <f t="shared" si="4"/>
        <v/>
      </c>
      <c r="F237" t="str">
        <f>IF($E237="","",IFERROR(INDEX(Ansprechpartner!$F$4:$F$80,MATCH($E237,AP_Namen,0)),""))</f>
        <v/>
      </c>
      <c r="G237" t="str">
        <f>IF($E237="","",IFERROR(INDEX(Ansprechpartner!$C$4:$C$80,MATCH($E237,AP_Namen,0)),""))</f>
        <v/>
      </c>
    </row>
    <row r="238" spans="3:7" ht="15" customHeight="1">
      <c r="C238" t="str">
        <f t="shared" si="4"/>
        <v/>
      </c>
      <c r="F238" t="str">
        <f>IF($E238="","",IFERROR(INDEX(Ansprechpartner!$F$4:$F$80,MATCH($E238,AP_Namen,0)),""))</f>
        <v/>
      </c>
      <c r="G238" t="str">
        <f>IF($E238="","",IFERROR(INDEX(Ansprechpartner!$C$4:$C$80,MATCH($E238,AP_Namen,0)),""))</f>
        <v/>
      </c>
    </row>
    <row r="239" spans="3:7" ht="15" customHeight="1">
      <c r="C239" t="str">
        <f t="shared" si="4"/>
        <v/>
      </c>
      <c r="F239" t="str">
        <f>IF($E239="","",IFERROR(INDEX(Ansprechpartner!$F$4:$F$80,MATCH($E239,AP_Namen,0)),""))</f>
        <v/>
      </c>
      <c r="G239" t="str">
        <f>IF($E239="","",IFERROR(INDEX(Ansprechpartner!$C$4:$C$80,MATCH($E239,AP_Namen,0)),""))</f>
        <v/>
      </c>
    </row>
    <row r="240" spans="3:7" ht="15" customHeight="1">
      <c r="C240" t="str">
        <f t="shared" si="4"/>
        <v/>
      </c>
      <c r="F240" t="str">
        <f>IF($E240="","",IFERROR(INDEX(Ansprechpartner!$F$4:$F$80,MATCH($E240,AP_Namen,0)),""))</f>
        <v/>
      </c>
      <c r="G240" t="str">
        <f>IF($E240="","",IFERROR(INDEX(Ansprechpartner!$C$4:$C$80,MATCH($E240,AP_Namen,0)),""))</f>
        <v/>
      </c>
    </row>
    <row r="241" spans="3:7" ht="15" customHeight="1">
      <c r="C241" t="str">
        <f t="shared" si="4"/>
        <v/>
      </c>
      <c r="F241" t="str">
        <f>IF($E241="","",IFERROR(INDEX(Ansprechpartner!$F$4:$F$80,MATCH($E241,AP_Namen,0)),""))</f>
        <v/>
      </c>
      <c r="G241" t="str">
        <f>IF($E241="","",IFERROR(INDEX(Ansprechpartner!$C$4:$C$80,MATCH($E241,AP_Namen,0)),""))</f>
        <v/>
      </c>
    </row>
    <row r="242" spans="3:7" ht="15" customHeight="1">
      <c r="C242" t="str">
        <f t="shared" si="4"/>
        <v/>
      </c>
      <c r="F242" t="str">
        <f>IF($E242="","",IFERROR(INDEX(Ansprechpartner!$F$4:$F$80,MATCH($E242,AP_Namen,0)),""))</f>
        <v/>
      </c>
      <c r="G242" t="str">
        <f>IF($E242="","",IFERROR(INDEX(Ansprechpartner!$C$4:$C$80,MATCH($E242,AP_Namen,0)),""))</f>
        <v/>
      </c>
    </row>
    <row r="243" spans="3:7" ht="15" customHeight="1">
      <c r="C243" t="str">
        <f t="shared" si="4"/>
        <v/>
      </c>
      <c r="F243" t="str">
        <f>IF($E243="","",IFERROR(INDEX(Ansprechpartner!$F$4:$F$80,MATCH($E243,AP_Namen,0)),""))</f>
        <v/>
      </c>
      <c r="G243" t="str">
        <f>IF($E243="","",IFERROR(INDEX(Ansprechpartner!$C$4:$C$80,MATCH($E243,AP_Namen,0)),""))</f>
        <v/>
      </c>
    </row>
    <row r="244" spans="3:7" ht="15" customHeight="1">
      <c r="C244" t="str">
        <f t="shared" si="4"/>
        <v/>
      </c>
      <c r="F244" t="str">
        <f>IF($E244="","",IFERROR(INDEX(Ansprechpartner!$F$4:$F$80,MATCH($E244,AP_Namen,0)),""))</f>
        <v/>
      </c>
      <c r="G244" t="str">
        <f>IF($E244="","",IFERROR(INDEX(Ansprechpartner!$C$4:$C$80,MATCH($E244,AP_Namen,0)),""))</f>
        <v/>
      </c>
    </row>
    <row r="245" spans="3:7" ht="15" customHeight="1">
      <c r="C245" t="str">
        <f t="shared" si="4"/>
        <v/>
      </c>
      <c r="F245" t="str">
        <f>IF($E245="","",IFERROR(INDEX(Ansprechpartner!$F$4:$F$80,MATCH($E245,AP_Namen,0)),""))</f>
        <v/>
      </c>
      <c r="G245" t="str">
        <f>IF($E245="","",IFERROR(INDEX(Ansprechpartner!$C$4:$C$80,MATCH($E245,AP_Namen,0)),""))</f>
        <v/>
      </c>
    </row>
    <row r="246" spans="3:7" ht="15" customHeight="1">
      <c r="C246" t="str">
        <f t="shared" si="4"/>
        <v/>
      </c>
      <c r="F246" t="str">
        <f>IF($E246="","",IFERROR(INDEX(Ansprechpartner!$F$4:$F$80,MATCH($E246,AP_Namen,0)),""))</f>
        <v/>
      </c>
      <c r="G246" t="str">
        <f>IF($E246="","",IFERROR(INDEX(Ansprechpartner!$C$4:$C$80,MATCH($E246,AP_Namen,0)),""))</f>
        <v/>
      </c>
    </row>
    <row r="247" spans="3:7" ht="15" customHeight="1">
      <c r="C247" t="str">
        <f t="shared" si="4"/>
        <v/>
      </c>
      <c r="F247" t="str">
        <f>IF($E247="","",IFERROR(INDEX(Ansprechpartner!$F$4:$F$80,MATCH($E247,AP_Namen,0)),""))</f>
        <v/>
      </c>
      <c r="G247" t="str">
        <f>IF($E247="","",IFERROR(INDEX(Ansprechpartner!$C$4:$C$80,MATCH($E247,AP_Namen,0)),""))</f>
        <v/>
      </c>
    </row>
    <row r="248" spans="3:7" ht="15" customHeight="1">
      <c r="C248" t="str">
        <f t="shared" si="4"/>
        <v/>
      </c>
      <c r="F248" t="str">
        <f>IF($E248="","",IFERROR(INDEX(Ansprechpartner!$F$4:$F$80,MATCH($E248,AP_Namen,0)),""))</f>
        <v/>
      </c>
      <c r="G248" t="str">
        <f>IF($E248="","",IFERROR(INDEX(Ansprechpartner!$C$4:$C$80,MATCH($E248,AP_Namen,0)),""))</f>
        <v/>
      </c>
    </row>
    <row r="249" spans="3:7" ht="15" customHeight="1">
      <c r="C249" t="str">
        <f t="shared" si="4"/>
        <v/>
      </c>
      <c r="F249" t="str">
        <f>IF($E249="","",IFERROR(INDEX(Ansprechpartner!$F$4:$F$80,MATCH($E249,AP_Namen,0)),""))</f>
        <v/>
      </c>
      <c r="G249" t="str">
        <f>IF($E249="","",IFERROR(INDEX(Ansprechpartner!$C$4:$C$80,MATCH($E249,AP_Namen,0)),""))</f>
        <v/>
      </c>
    </row>
    <row r="250" spans="3:7" ht="15" customHeight="1">
      <c r="C250" t="str">
        <f t="shared" si="4"/>
        <v/>
      </c>
      <c r="F250" t="str">
        <f>IF($E250="","",IFERROR(INDEX(Ansprechpartner!$F$4:$F$80,MATCH($E250,AP_Namen,0)),""))</f>
        <v/>
      </c>
      <c r="G250" t="str">
        <f>IF($E250="","",IFERROR(INDEX(Ansprechpartner!$C$4:$C$80,MATCH($E250,AP_Namen,0)),""))</f>
        <v/>
      </c>
    </row>
    <row r="251" spans="3:7" ht="15" customHeight="1">
      <c r="C251" t="str">
        <f t="shared" si="4"/>
        <v/>
      </c>
      <c r="F251" t="str">
        <f>IF($E251="","",IFERROR(INDEX(Ansprechpartner!$F$4:$F$80,MATCH($E251,AP_Namen,0)),""))</f>
        <v/>
      </c>
      <c r="G251" t="str">
        <f>IF($E251="","",IFERROR(INDEX(Ansprechpartner!$C$4:$C$80,MATCH($E251,AP_Namen,0)),""))</f>
        <v/>
      </c>
    </row>
    <row r="252" spans="3:7" ht="15" customHeight="1">
      <c r="C252" t="str">
        <f t="shared" si="4"/>
        <v/>
      </c>
      <c r="F252" t="str">
        <f>IF($E252="","",IFERROR(INDEX(Ansprechpartner!$F$4:$F$80,MATCH($E252,AP_Namen,0)),""))</f>
        <v/>
      </c>
      <c r="G252" t="str">
        <f>IF($E252="","",IFERROR(INDEX(Ansprechpartner!$C$4:$C$80,MATCH($E252,AP_Namen,0)),""))</f>
        <v/>
      </c>
    </row>
    <row r="253" spans="3:7" ht="15" customHeight="1">
      <c r="C253" t="str">
        <f t="shared" si="4"/>
        <v/>
      </c>
      <c r="F253" t="str">
        <f>IF($E253="","",IFERROR(INDEX(Ansprechpartner!$F$4:$F$80,MATCH($E253,AP_Namen,0)),""))</f>
        <v/>
      </c>
      <c r="G253" t="str">
        <f>IF($E253="","",IFERROR(INDEX(Ansprechpartner!$C$4:$C$80,MATCH($E253,AP_Namen,0)),""))</f>
        <v/>
      </c>
    </row>
    <row r="254" spans="3:7" ht="15" customHeight="1">
      <c r="C254" t="str">
        <f t="shared" si="4"/>
        <v/>
      </c>
      <c r="F254" t="str">
        <f>IF($E254="","",IFERROR(INDEX(Ansprechpartner!$F$4:$F$80,MATCH($E254,AP_Namen,0)),""))</f>
        <v/>
      </c>
      <c r="G254" t="str">
        <f>IF($E254="","",IFERROR(INDEX(Ansprechpartner!$C$4:$C$80,MATCH($E254,AP_Namen,0)),""))</f>
        <v/>
      </c>
    </row>
    <row r="255" spans="3:7" ht="15" customHeight="1">
      <c r="C255" t="str">
        <f t="shared" si="4"/>
        <v/>
      </c>
      <c r="F255" t="str">
        <f>IF($E255="","",IFERROR(INDEX(Ansprechpartner!$F$4:$F$80,MATCH($E255,AP_Namen,0)),""))</f>
        <v/>
      </c>
      <c r="G255" t="str">
        <f>IF($E255="","",IFERROR(INDEX(Ansprechpartner!$C$4:$C$80,MATCH($E255,AP_Namen,0)),""))</f>
        <v/>
      </c>
    </row>
    <row r="256" spans="3:7" ht="15" customHeight="1">
      <c r="C256" t="str">
        <f t="shared" si="4"/>
        <v/>
      </c>
      <c r="F256" t="str">
        <f>IF($E256="","",IFERROR(INDEX(Ansprechpartner!$F$4:$F$80,MATCH($E256,AP_Namen,0)),""))</f>
        <v/>
      </c>
      <c r="G256" t="str">
        <f>IF($E256="","",IFERROR(INDEX(Ansprechpartner!$C$4:$C$80,MATCH($E256,AP_Namen,0)),""))</f>
        <v/>
      </c>
    </row>
    <row r="257" spans="3:7" ht="15" customHeight="1">
      <c r="C257" t="str">
        <f t="shared" si="4"/>
        <v/>
      </c>
      <c r="F257" t="str">
        <f>IF($E257="","",IFERROR(INDEX(Ansprechpartner!$F$4:$F$80,MATCH($E257,AP_Namen,0)),""))</f>
        <v/>
      </c>
      <c r="G257" t="str">
        <f>IF($E257="","",IFERROR(INDEX(Ansprechpartner!$C$4:$C$80,MATCH($E257,AP_Namen,0)),""))</f>
        <v/>
      </c>
    </row>
    <row r="258" spans="3:7" ht="15" customHeight="1">
      <c r="C258" t="str">
        <f t="shared" si="4"/>
        <v/>
      </c>
      <c r="F258" t="str">
        <f>IF($E258="","",IFERROR(INDEX(Ansprechpartner!$F$4:$F$80,MATCH($E258,AP_Namen,0)),""))</f>
        <v/>
      </c>
      <c r="G258" t="str">
        <f>IF($E258="","",IFERROR(INDEX(Ansprechpartner!$C$4:$C$80,MATCH($E258,AP_Namen,0)),""))</f>
        <v/>
      </c>
    </row>
    <row r="259" spans="3:7" ht="15" customHeight="1">
      <c r="C259" t="str">
        <f t="shared" si="4"/>
        <v/>
      </c>
      <c r="F259" t="str">
        <f>IF($E259="","",IFERROR(INDEX(Ansprechpartner!$F$4:$F$80,MATCH($E259,AP_Namen,0)),""))</f>
        <v/>
      </c>
      <c r="G259" t="str">
        <f>IF($E259="","",IFERROR(INDEX(Ansprechpartner!$C$4:$C$80,MATCH($E259,AP_Namen,0)),""))</f>
        <v/>
      </c>
    </row>
    <row r="260" spans="3:7" ht="15" customHeight="1">
      <c r="C260" t="str">
        <f t="shared" si="4"/>
        <v/>
      </c>
      <c r="F260" t="str">
        <f>IF($E260="","",IFERROR(INDEX(Ansprechpartner!$F$4:$F$80,MATCH($E260,AP_Namen,0)),""))</f>
        <v/>
      </c>
      <c r="G260" t="str">
        <f>IF($E260="","",IFERROR(INDEX(Ansprechpartner!$C$4:$C$80,MATCH($E260,AP_Namen,0)),""))</f>
        <v/>
      </c>
    </row>
    <row r="261" spans="3:7" ht="15" customHeight="1">
      <c r="C261" t="str">
        <f t="shared" si="4"/>
        <v/>
      </c>
      <c r="F261" t="str">
        <f>IF($E261="","",IFERROR(INDEX(Ansprechpartner!$F$4:$F$80,MATCH($E261,AP_Namen,0)),""))</f>
        <v/>
      </c>
      <c r="G261" t="str">
        <f>IF($E261="","",IFERROR(INDEX(Ansprechpartner!$C$4:$C$80,MATCH($E261,AP_Namen,0)),""))</f>
        <v/>
      </c>
    </row>
    <row r="262" spans="3:7" ht="15" customHeight="1">
      <c r="C262" t="str">
        <f t="shared" si="4"/>
        <v/>
      </c>
      <c r="F262" t="str">
        <f>IF($E262="","",IFERROR(INDEX(Ansprechpartner!$F$4:$F$80,MATCH($E262,AP_Namen,0)),""))</f>
        <v/>
      </c>
      <c r="G262" t="str">
        <f>IF($E262="","",IFERROR(INDEX(Ansprechpartner!$C$4:$C$80,MATCH($E262,AP_Namen,0)),""))</f>
        <v/>
      </c>
    </row>
    <row r="263" spans="3:7" ht="15" customHeight="1">
      <c r="C263" t="str">
        <f t="shared" si="4"/>
        <v/>
      </c>
      <c r="F263" t="str">
        <f>IF($E263="","",IFERROR(INDEX(Ansprechpartner!$F$4:$F$80,MATCH($E263,AP_Namen,0)),""))</f>
        <v/>
      </c>
      <c r="G263" t="str">
        <f>IF($E263="","",IFERROR(INDEX(Ansprechpartner!$C$4:$C$80,MATCH($E263,AP_Namen,0)),""))</f>
        <v/>
      </c>
    </row>
    <row r="264" spans="3:7" ht="15" customHeight="1">
      <c r="C264" t="str">
        <f t="shared" si="4"/>
        <v/>
      </c>
      <c r="F264" t="str">
        <f>IF($E264="","",IFERROR(INDEX(Ansprechpartner!$F$4:$F$80,MATCH($E264,AP_Namen,0)),""))</f>
        <v/>
      </c>
      <c r="G264" t="str">
        <f>IF($E264="","",IFERROR(INDEX(Ansprechpartner!$C$4:$C$80,MATCH($E264,AP_Namen,0)),""))</f>
        <v/>
      </c>
    </row>
    <row r="265" spans="3:7" ht="15" customHeight="1">
      <c r="C265" t="str">
        <f t="shared" si="4"/>
        <v/>
      </c>
      <c r="F265" t="str">
        <f>IF($E265="","",IFERROR(INDEX(Ansprechpartner!$F$4:$F$80,MATCH($E265,AP_Namen,0)),""))</f>
        <v/>
      </c>
      <c r="G265" t="str">
        <f>IF($E265="","",IFERROR(INDEX(Ansprechpartner!$C$4:$C$80,MATCH($E265,AP_Namen,0)),""))</f>
        <v/>
      </c>
    </row>
    <row r="266" spans="3:7" ht="15" customHeight="1">
      <c r="C266" t="str">
        <f t="shared" si="4"/>
        <v/>
      </c>
      <c r="F266" t="str">
        <f>IF($E266="","",IFERROR(INDEX(Ansprechpartner!$F$4:$F$80,MATCH($E266,AP_Namen,0)),""))</f>
        <v/>
      </c>
      <c r="G266" t="str">
        <f>IF($E266="","",IFERROR(INDEX(Ansprechpartner!$C$4:$C$80,MATCH($E266,AP_Namen,0)),""))</f>
        <v/>
      </c>
    </row>
    <row r="267" spans="3:7" ht="15" customHeight="1">
      <c r="C267" t="str">
        <f t="shared" si="4"/>
        <v/>
      </c>
      <c r="F267" t="str">
        <f>IF($E267="","",IFERROR(INDEX(Ansprechpartner!$F$4:$F$80,MATCH($E267,AP_Namen,0)),""))</f>
        <v/>
      </c>
      <c r="G267" t="str">
        <f>IF($E267="","",IFERROR(INDEX(Ansprechpartner!$C$4:$C$80,MATCH($E267,AP_Namen,0)),""))</f>
        <v/>
      </c>
    </row>
    <row r="268" spans="3:7" ht="15" customHeight="1">
      <c r="C268" t="str">
        <f t="shared" si="4"/>
        <v/>
      </c>
      <c r="F268" t="str">
        <f>IF($E268="","",IFERROR(INDEX(Ansprechpartner!$F$4:$F$80,MATCH($E268,AP_Namen,0)),""))</f>
        <v/>
      </c>
      <c r="G268" t="str">
        <f>IF($E268="","",IFERROR(INDEX(Ansprechpartner!$C$4:$C$80,MATCH($E268,AP_Namen,0)),""))</f>
        <v/>
      </c>
    </row>
    <row r="269" spans="3:7" ht="15" customHeight="1">
      <c r="C269" t="str">
        <f t="shared" si="4"/>
        <v/>
      </c>
      <c r="F269" t="str">
        <f>IF($E269="","",IFERROR(INDEX(Ansprechpartner!$F$4:$F$80,MATCH($E269,AP_Namen,0)),""))</f>
        <v/>
      </c>
      <c r="G269" t="str">
        <f>IF($E269="","",IFERROR(INDEX(Ansprechpartner!$C$4:$C$80,MATCH($E269,AP_Namen,0)),""))</f>
        <v/>
      </c>
    </row>
    <row r="270" spans="3:7" ht="15" customHeight="1">
      <c r="C270" t="str">
        <f t="shared" si="4"/>
        <v/>
      </c>
      <c r="F270" t="str">
        <f>IF($E270="","",IFERROR(INDEX(Ansprechpartner!$F$4:$F$80,MATCH($E270,AP_Namen,0)),""))</f>
        <v/>
      </c>
      <c r="G270" t="str">
        <f>IF($E270="","",IFERROR(INDEX(Ansprechpartner!$C$4:$C$80,MATCH($E270,AP_Namen,0)),""))</f>
        <v/>
      </c>
    </row>
    <row r="271" spans="3:7" ht="15" customHeight="1">
      <c r="C271" t="str">
        <f t="shared" si="4"/>
        <v/>
      </c>
      <c r="F271" t="str">
        <f>IF($E271="","",IFERROR(INDEX(Ansprechpartner!$F$4:$F$80,MATCH($E271,AP_Namen,0)),""))</f>
        <v/>
      </c>
      <c r="G271" t="str">
        <f>IF($E271="","",IFERROR(INDEX(Ansprechpartner!$C$4:$C$80,MATCH($E271,AP_Namen,0)),""))</f>
        <v/>
      </c>
    </row>
    <row r="272" spans="3:7" ht="15" customHeight="1">
      <c r="C272" t="str">
        <f t="shared" si="4"/>
        <v/>
      </c>
      <c r="F272" t="str">
        <f>IF($E272="","",IFERROR(INDEX(Ansprechpartner!$F$4:$F$80,MATCH($E272,AP_Namen,0)),""))</f>
        <v/>
      </c>
      <c r="G272" t="str">
        <f>IF($E272="","",IFERROR(INDEX(Ansprechpartner!$C$4:$C$80,MATCH($E272,AP_Namen,0)),""))</f>
        <v/>
      </c>
    </row>
    <row r="273" spans="3:7" ht="15" customHeight="1">
      <c r="C273" t="str">
        <f t="shared" si="4"/>
        <v/>
      </c>
      <c r="F273" t="str">
        <f>IF($E273="","",IFERROR(INDEX(Ansprechpartner!$F$4:$F$80,MATCH($E273,AP_Namen,0)),""))</f>
        <v/>
      </c>
      <c r="G273" t="str">
        <f>IF($E273="","",IFERROR(INDEX(Ansprechpartner!$C$4:$C$80,MATCH($E273,AP_Namen,0)),""))</f>
        <v/>
      </c>
    </row>
    <row r="274" spans="3:7" ht="15" customHeight="1">
      <c r="C274" t="str">
        <f t="shared" si="4"/>
        <v/>
      </c>
      <c r="F274" t="str">
        <f>IF($E274="","",IFERROR(INDEX(Ansprechpartner!$F$4:$F$80,MATCH($E274,AP_Namen,0)),""))</f>
        <v/>
      </c>
      <c r="G274" t="str">
        <f>IF($E274="","",IFERROR(INDEX(Ansprechpartner!$C$4:$C$80,MATCH($E274,AP_Namen,0)),""))</f>
        <v/>
      </c>
    </row>
    <row r="275" spans="3:7" ht="15" customHeight="1">
      <c r="C275" t="str">
        <f t="shared" si="4"/>
        <v/>
      </c>
      <c r="F275" t="str">
        <f>IF($E275="","",IFERROR(INDEX(Ansprechpartner!$F$4:$F$80,MATCH($E275,AP_Namen,0)),""))</f>
        <v/>
      </c>
      <c r="G275" t="str">
        <f>IF($E275="","",IFERROR(INDEX(Ansprechpartner!$C$4:$C$80,MATCH($E275,AP_Namen,0)),""))</f>
        <v/>
      </c>
    </row>
    <row r="276" spans="3:7" ht="15" customHeight="1">
      <c r="C276" t="str">
        <f t="shared" si="4"/>
        <v/>
      </c>
      <c r="F276" t="str">
        <f>IF($E276="","",IFERROR(INDEX(Ansprechpartner!$F$4:$F$80,MATCH($E276,AP_Namen,0)),""))</f>
        <v/>
      </c>
      <c r="G276" t="str">
        <f>IF($E276="","",IFERROR(INDEX(Ansprechpartner!$C$4:$C$80,MATCH($E276,AP_Namen,0)),""))</f>
        <v/>
      </c>
    </row>
    <row r="277" spans="3:7" ht="15" customHeight="1">
      <c r="C277" t="str">
        <f t="shared" si="4"/>
        <v/>
      </c>
      <c r="F277" t="str">
        <f>IF($E277="","",IFERROR(INDEX(Ansprechpartner!$F$4:$F$80,MATCH($E277,AP_Namen,0)),""))</f>
        <v/>
      </c>
      <c r="G277" t="str">
        <f>IF($E277="","",IFERROR(INDEX(Ansprechpartner!$C$4:$C$80,MATCH($E277,AP_Namen,0)),""))</f>
        <v/>
      </c>
    </row>
    <row r="278" spans="3:7" ht="15" customHeight="1">
      <c r="C278" t="str">
        <f t="shared" si="4"/>
        <v/>
      </c>
      <c r="F278" t="str">
        <f>IF($E278="","",IFERROR(INDEX(Ansprechpartner!$F$4:$F$80,MATCH($E278,AP_Namen,0)),""))</f>
        <v/>
      </c>
      <c r="G278" t="str">
        <f>IF($E278="","",IFERROR(INDEX(Ansprechpartner!$C$4:$C$80,MATCH($E278,AP_Namen,0)),""))</f>
        <v/>
      </c>
    </row>
    <row r="279" spans="3:7" ht="15" customHeight="1">
      <c r="C279" t="str">
        <f t="shared" si="4"/>
        <v/>
      </c>
      <c r="F279" t="str">
        <f>IF($E279="","",IFERROR(INDEX(Ansprechpartner!$F$4:$F$80,MATCH($E279,AP_Namen,0)),""))</f>
        <v/>
      </c>
      <c r="G279" t="str">
        <f>IF($E279="","",IFERROR(INDEX(Ansprechpartner!$C$4:$C$80,MATCH($E279,AP_Namen,0)),""))</f>
        <v/>
      </c>
    </row>
    <row r="280" spans="3:7" ht="15" customHeight="1">
      <c r="C280" t="str">
        <f t="shared" si="4"/>
        <v/>
      </c>
      <c r="F280" t="str">
        <f>IF($E280="","",IFERROR(INDEX(Ansprechpartner!$F$4:$F$80,MATCH($E280,AP_Namen,0)),""))</f>
        <v/>
      </c>
      <c r="G280" t="str">
        <f>IF($E280="","",IFERROR(INDEX(Ansprechpartner!$C$4:$C$80,MATCH($E280,AP_Namen,0)),""))</f>
        <v/>
      </c>
    </row>
    <row r="281" spans="3:7" ht="15" customHeight="1">
      <c r="C281" t="str">
        <f t="shared" si="4"/>
        <v/>
      </c>
      <c r="F281" t="str">
        <f>IF($E281="","",IFERROR(INDEX(Ansprechpartner!$F$4:$F$80,MATCH($E281,AP_Namen,0)),""))</f>
        <v/>
      </c>
      <c r="G281" t="str">
        <f>IF($E281="","",IFERROR(INDEX(Ansprechpartner!$C$4:$C$80,MATCH($E281,AP_Namen,0)),""))</f>
        <v/>
      </c>
    </row>
    <row r="282" spans="3:7" ht="15" customHeight="1">
      <c r="C282" t="str">
        <f t="shared" si="4"/>
        <v/>
      </c>
      <c r="F282" t="str">
        <f>IF($E282="","",IFERROR(INDEX(Ansprechpartner!$F$4:$F$80,MATCH($E282,AP_Namen,0)),""))</f>
        <v/>
      </c>
      <c r="G282" t="str">
        <f>IF($E282="","",IFERROR(INDEX(Ansprechpartner!$C$4:$C$80,MATCH($E282,AP_Namen,0)),""))</f>
        <v/>
      </c>
    </row>
    <row r="283" spans="3:7" ht="15" customHeight="1">
      <c r="C283" t="str">
        <f t="shared" si="4"/>
        <v/>
      </c>
      <c r="F283" t="str">
        <f>IF($E283="","",IFERROR(INDEX(Ansprechpartner!$F$4:$F$80,MATCH($E283,AP_Namen,0)),""))</f>
        <v/>
      </c>
      <c r="G283" t="str">
        <f>IF($E283="","",IFERROR(INDEX(Ansprechpartner!$C$4:$C$80,MATCH($E283,AP_Namen,0)),""))</f>
        <v/>
      </c>
    </row>
    <row r="284" spans="3:7" ht="15" customHeight="1">
      <c r="C284" t="str">
        <f t="shared" si="4"/>
        <v/>
      </c>
      <c r="F284" t="str">
        <f>IF($E284="","",IFERROR(INDEX(Ansprechpartner!$F$4:$F$80,MATCH($E284,AP_Namen,0)),""))</f>
        <v/>
      </c>
      <c r="G284" t="str">
        <f>IF($E284="","",IFERROR(INDEX(Ansprechpartner!$C$4:$C$80,MATCH($E284,AP_Namen,0)),""))</f>
        <v/>
      </c>
    </row>
    <row r="285" spans="3:7" ht="15" customHeight="1">
      <c r="C285" t="str">
        <f t="shared" si="4"/>
        <v/>
      </c>
      <c r="F285" t="str">
        <f>IF($E285="","",IFERROR(INDEX(Ansprechpartner!$F$4:$F$80,MATCH($E285,AP_Namen,0)),""))</f>
        <v/>
      </c>
      <c r="G285" t="str">
        <f>IF($E285="","",IFERROR(INDEX(Ansprechpartner!$C$4:$C$80,MATCH($E285,AP_Namen,0)),""))</f>
        <v/>
      </c>
    </row>
    <row r="286" spans="3:7" ht="15" customHeight="1">
      <c r="C286" t="str">
        <f t="shared" si="4"/>
        <v/>
      </c>
      <c r="F286" t="str">
        <f>IF($E286="","",IFERROR(INDEX(Ansprechpartner!$F$4:$F$80,MATCH($E286,AP_Namen,0)),""))</f>
        <v/>
      </c>
      <c r="G286" t="str">
        <f>IF($E286="","",IFERROR(INDEX(Ansprechpartner!$C$4:$C$80,MATCH($E286,AP_Namen,0)),""))</f>
        <v/>
      </c>
    </row>
    <row r="287" spans="3:7" ht="15" customHeight="1">
      <c r="C287" t="str">
        <f t="shared" si="4"/>
        <v/>
      </c>
      <c r="F287" t="str">
        <f>IF($E287="","",IFERROR(INDEX(Ansprechpartner!$F$4:$F$80,MATCH($E287,AP_Namen,0)),""))</f>
        <v/>
      </c>
      <c r="G287" t="str">
        <f>IF($E287="","",IFERROR(INDEX(Ansprechpartner!$C$4:$C$80,MATCH($E287,AP_Namen,0)),""))</f>
        <v/>
      </c>
    </row>
    <row r="288" spans="3:7" ht="15" customHeight="1">
      <c r="C288" t="str">
        <f t="shared" si="4"/>
        <v/>
      </c>
      <c r="F288" t="str">
        <f>IF($E288="","",IFERROR(INDEX(Ansprechpartner!$F$4:$F$80,MATCH($E288,AP_Namen,0)),""))</f>
        <v/>
      </c>
      <c r="G288" t="str">
        <f>IF($E288="","",IFERROR(INDEX(Ansprechpartner!$C$4:$C$80,MATCH($E288,AP_Namen,0)),""))</f>
        <v/>
      </c>
    </row>
    <row r="289" spans="3:7" ht="15" customHeight="1">
      <c r="C289" t="str">
        <f t="shared" si="4"/>
        <v/>
      </c>
      <c r="F289" t="str">
        <f>IF($E289="","",IFERROR(INDEX(Ansprechpartner!$F$4:$F$80,MATCH($E289,AP_Namen,0)),""))</f>
        <v/>
      </c>
      <c r="G289" t="str">
        <f>IF($E289="","",IFERROR(INDEX(Ansprechpartner!$C$4:$C$80,MATCH($E289,AP_Namen,0)),""))</f>
        <v/>
      </c>
    </row>
    <row r="290" spans="3:7" ht="15" customHeight="1">
      <c r="C290" t="str">
        <f t="shared" si="4"/>
        <v/>
      </c>
      <c r="F290" t="str">
        <f>IF($E290="","",IFERROR(INDEX(Ansprechpartner!$F$4:$F$80,MATCH($E290,AP_Namen,0)),""))</f>
        <v/>
      </c>
      <c r="G290" t="str">
        <f>IF($E290="","",IFERROR(INDEX(Ansprechpartner!$C$4:$C$80,MATCH($E290,AP_Namen,0)),""))</f>
        <v/>
      </c>
    </row>
    <row r="291" spans="3:7" ht="15" customHeight="1">
      <c r="C291" t="str">
        <f t="shared" si="4"/>
        <v/>
      </c>
      <c r="F291" t="str">
        <f>IF($E291="","",IFERROR(INDEX(Ansprechpartner!$F$4:$F$80,MATCH($E291,AP_Namen,0)),""))</f>
        <v/>
      </c>
      <c r="G291" t="str">
        <f>IF($E291="","",IFERROR(INDEX(Ansprechpartner!$C$4:$C$80,MATCH($E291,AP_Namen,0)),""))</f>
        <v/>
      </c>
    </row>
    <row r="292" spans="3:7" ht="15" customHeight="1">
      <c r="C292" t="str">
        <f t="shared" ref="C292:C306" si="5">IF(B292="","",CHOOSE(WEEKDAY(B292,2),"Montag","Dienstag","Mittwoch","Donnerstag","Freitag","Samstag","Sonntag"))</f>
        <v/>
      </c>
      <c r="F292" t="str">
        <f>IF($E292="","",IFERROR(INDEX(Ansprechpartner!$F$4:$F$80,MATCH($E292,AP_Namen,0)),""))</f>
        <v/>
      </c>
      <c r="G292" t="str">
        <f>IF($E292="","",IFERROR(INDEX(Ansprechpartner!$C$4:$C$80,MATCH($E292,AP_Namen,0)),""))</f>
        <v/>
      </c>
    </row>
    <row r="293" spans="3:7" ht="15" customHeight="1">
      <c r="C293" t="str">
        <f t="shared" si="5"/>
        <v/>
      </c>
      <c r="F293" t="str">
        <f>IF($E293="","",IFERROR(INDEX(Ansprechpartner!$F$4:$F$80,MATCH($E293,AP_Namen,0)),""))</f>
        <v/>
      </c>
      <c r="G293" t="str">
        <f>IF($E293="","",IFERROR(INDEX(Ansprechpartner!$C$4:$C$80,MATCH($E293,AP_Namen,0)),""))</f>
        <v/>
      </c>
    </row>
    <row r="294" spans="3:7" ht="15" customHeight="1">
      <c r="C294" t="str">
        <f t="shared" si="5"/>
        <v/>
      </c>
      <c r="F294" t="str">
        <f>IF($E294="","",IFERROR(INDEX(Ansprechpartner!$F$4:$F$80,MATCH($E294,AP_Namen,0)),""))</f>
        <v/>
      </c>
      <c r="G294" t="str">
        <f>IF($E294="","",IFERROR(INDEX(Ansprechpartner!$C$4:$C$80,MATCH($E294,AP_Namen,0)),""))</f>
        <v/>
      </c>
    </row>
    <row r="295" spans="3:7" ht="15" customHeight="1">
      <c r="C295" t="str">
        <f t="shared" si="5"/>
        <v/>
      </c>
      <c r="F295" t="str">
        <f>IF($E295="","",IFERROR(INDEX(Ansprechpartner!$F$4:$F$80,MATCH($E295,AP_Namen,0)),""))</f>
        <v/>
      </c>
      <c r="G295" t="str">
        <f>IF($E295="","",IFERROR(INDEX(Ansprechpartner!$C$4:$C$80,MATCH($E295,AP_Namen,0)),""))</f>
        <v/>
      </c>
    </row>
    <row r="296" spans="3:7" ht="15" customHeight="1">
      <c r="C296" t="str">
        <f t="shared" si="5"/>
        <v/>
      </c>
      <c r="F296" t="str">
        <f>IF($E296="","",IFERROR(INDEX(Ansprechpartner!$F$4:$F$80,MATCH($E296,AP_Namen,0)),""))</f>
        <v/>
      </c>
      <c r="G296" t="str">
        <f>IF($E296="","",IFERROR(INDEX(Ansprechpartner!$C$4:$C$80,MATCH($E296,AP_Namen,0)),""))</f>
        <v/>
      </c>
    </row>
    <row r="297" spans="3:7" ht="15" customHeight="1">
      <c r="C297" t="str">
        <f t="shared" si="5"/>
        <v/>
      </c>
      <c r="F297" t="str">
        <f>IF($E297="","",IFERROR(INDEX(Ansprechpartner!$F$4:$F$80,MATCH($E297,AP_Namen,0)),""))</f>
        <v/>
      </c>
      <c r="G297" t="str">
        <f>IF($E297="","",IFERROR(INDEX(Ansprechpartner!$C$4:$C$80,MATCH($E297,AP_Namen,0)),""))</f>
        <v/>
      </c>
    </row>
    <row r="298" spans="3:7" ht="15" customHeight="1">
      <c r="C298" t="str">
        <f t="shared" si="5"/>
        <v/>
      </c>
      <c r="F298" t="str">
        <f>IF($E298="","",IFERROR(INDEX(Ansprechpartner!$F$4:$F$80,MATCH($E298,AP_Namen,0)),""))</f>
        <v/>
      </c>
      <c r="G298" t="str">
        <f>IF($E298="","",IFERROR(INDEX(Ansprechpartner!$C$4:$C$80,MATCH($E298,AP_Namen,0)),""))</f>
        <v/>
      </c>
    </row>
    <row r="299" spans="3:7" ht="15" customHeight="1">
      <c r="C299" t="str">
        <f t="shared" si="5"/>
        <v/>
      </c>
      <c r="F299" t="str">
        <f>IF($E299="","",IFERROR(INDEX(Ansprechpartner!$F$4:$F$80,MATCH($E299,AP_Namen,0)),""))</f>
        <v/>
      </c>
      <c r="G299" t="str">
        <f>IF($E299="","",IFERROR(INDEX(Ansprechpartner!$C$4:$C$80,MATCH($E299,AP_Namen,0)),""))</f>
        <v/>
      </c>
    </row>
    <row r="300" spans="3:7" ht="15" customHeight="1">
      <c r="C300" t="str">
        <f t="shared" si="5"/>
        <v/>
      </c>
      <c r="F300" t="str">
        <f>IF($E300="","",IFERROR(INDEX(Ansprechpartner!$F$4:$F$80,MATCH($E300,AP_Namen,0)),""))</f>
        <v/>
      </c>
      <c r="G300" t="str">
        <f>IF($E300="","",IFERROR(INDEX(Ansprechpartner!$C$4:$C$80,MATCH($E300,AP_Namen,0)),""))</f>
        <v/>
      </c>
    </row>
    <row r="301" spans="3:7" ht="15" customHeight="1">
      <c r="C301" t="str">
        <f t="shared" si="5"/>
        <v/>
      </c>
    </row>
    <row r="302" spans="3:7" ht="15" customHeight="1">
      <c r="C302" t="str">
        <f t="shared" si="5"/>
        <v/>
      </c>
    </row>
    <row r="303" spans="3:7" ht="15" customHeight="1">
      <c r="C303" t="str">
        <f t="shared" si="5"/>
        <v/>
      </c>
    </row>
    <row r="304" spans="3:7" ht="15" customHeight="1">
      <c r="C304" t="str">
        <f t="shared" si="5"/>
        <v/>
      </c>
    </row>
    <row r="305" spans="3:3" ht="15" customHeight="1">
      <c r="C305" t="str">
        <f t="shared" si="5"/>
        <v/>
      </c>
    </row>
    <row r="306" spans="3:3" ht="15" customHeight="1">
      <c r="C306" t="str">
        <f t="shared" si="5"/>
        <v/>
      </c>
    </row>
  </sheetData>
  <autoFilter ref="A4:V36" xr:uid="{00000000-0009-0000-0000-000001000000}"/>
  <mergeCells count="2">
    <mergeCell ref="A3:M3"/>
    <mergeCell ref="N3:V3"/>
  </mergeCells>
  <conditionalFormatting sqref="A5:V300">
    <cfRule type="expression" dxfId="7" priority="2">
      <formula>$U5="Ja"</formula>
    </cfRule>
    <cfRule type="expression" dxfId="6" priority="3">
      <formula>$V5&lt;&gt;""</formula>
    </cfRule>
  </conditionalFormatting>
  <conditionalFormatting sqref="K5:K300">
    <cfRule type="expression" dxfId="5" priority="4">
      <formula>AND($M5&lt;&gt;"",$K5="")</formula>
    </cfRule>
  </conditionalFormatting>
  <conditionalFormatting sqref="L5:L300">
    <cfRule type="expression" dxfId="4" priority="5">
      <formula>AND(ISNUMBER($L5),$L5&gt;1)</formula>
    </cfRule>
  </conditionalFormatting>
  <dataValidations count="7">
    <dataValidation type="list" allowBlank="1" showErrorMessage="1" sqref="V5:V300" xr:uid="{00000000-0002-0000-0100-000000000000}">
      <formula1>"✔"</formula1>
      <formula2>0</formula2>
    </dataValidation>
    <dataValidation type="whole" operator="greaterThanOrEqual" allowBlank="1" showErrorMessage="1" errorTitle="Anzahl Kabel" error="Bitte eine ganze Zahl ≥ 1 eintragen." sqref="L5:L300" xr:uid="{00000000-0002-0000-0100-000001000000}">
      <formula1>1</formula1>
      <formula2>0</formula2>
    </dataValidation>
    <dataValidation type="list" allowBlank="1" sqref="E5:E300" xr:uid="{00000000-0002-0000-0100-000002000000}">
      <formula1>AP_Namen</formula1>
      <formula2>0</formula2>
    </dataValidation>
    <dataValidation type="list" allowBlank="1" sqref="H5:H300" xr:uid="{00000000-0002-0000-0100-000003000000}">
      <formula1>Strecken_BA2</formula1>
      <formula2>0</formula2>
    </dataValidation>
    <dataValidation type="list" allowBlank="1" sqref="Q5:Q300" xr:uid="{00000000-0002-0000-0100-000004000000}">
      <formula1>Gewerke_Liste</formula1>
      <formula2>0</formula2>
    </dataValidation>
    <dataValidation type="list" allowBlank="1" sqref="R5:R300" xr:uid="{00000000-0002-0000-0100-000005000000}">
      <formula1>Kabeltypen_Liste</formula1>
      <formula2>0</formula2>
    </dataValidation>
    <dataValidation type="list" allowBlank="1" showErrorMessage="1" sqref="U5:U300" xr:uid="{00000000-0002-0000-0100-000006000000}">
      <formula1>"Ja,Nein"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0"/>
  <sheetViews>
    <sheetView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6" customWidth="1"/>
    <col min="2" max="3" width="11" customWidth="1"/>
    <col min="4" max="4" width="8" customWidth="1"/>
    <col min="5" max="5" width="16" customWidth="1"/>
    <col min="6" max="6" width="14" customWidth="1"/>
    <col min="7" max="7" width="16" customWidth="1"/>
    <col min="8" max="8" width="10" customWidth="1"/>
    <col min="9" max="9" width="17.7109375" bestFit="1" customWidth="1"/>
    <col min="10" max="11" width="12" customWidth="1"/>
    <col min="12" max="12" width="8" customWidth="1"/>
    <col min="13" max="13" width="46" customWidth="1"/>
    <col min="14" max="15" width="12" customWidth="1"/>
    <col min="16" max="16" width="18" customWidth="1"/>
    <col min="17" max="17" width="24" customWidth="1"/>
    <col min="18" max="19" width="46" customWidth="1"/>
    <col min="20" max="20" width="15" customWidth="1"/>
    <col min="21" max="21" width="10" customWidth="1"/>
  </cols>
  <sheetData>
    <row r="1" spans="1:22" ht="17.25" customHeight="1">
      <c r="A1" s="1" t="s">
        <v>283</v>
      </c>
    </row>
    <row r="2" spans="1:22" ht="15" customHeight="1">
      <c r="A2" s="2" t="s">
        <v>96</v>
      </c>
    </row>
    <row r="3" spans="1:22" ht="15" customHeight="1">
      <c r="A3" s="36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 t="s">
        <v>98</v>
      </c>
      <c r="O3" s="37"/>
      <c r="P3" s="37"/>
      <c r="Q3" s="37"/>
      <c r="R3" s="37"/>
      <c r="S3" s="37"/>
      <c r="T3" s="37"/>
      <c r="U3" s="37"/>
      <c r="V3" s="37"/>
    </row>
    <row r="4" spans="1:22" ht="30" customHeight="1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  <c r="M4" s="3" t="s">
        <v>97</v>
      </c>
      <c r="N4" s="4" t="s">
        <v>111</v>
      </c>
      <c r="O4" s="5" t="s">
        <v>112</v>
      </c>
      <c r="P4" s="5" t="s">
        <v>113</v>
      </c>
      <c r="Q4" s="5" t="s">
        <v>114</v>
      </c>
      <c r="R4" s="5" t="s">
        <v>115</v>
      </c>
      <c r="S4" s="5" t="s">
        <v>116</v>
      </c>
      <c r="T4" s="5" t="s">
        <v>117</v>
      </c>
      <c r="U4" s="5" t="s">
        <v>118</v>
      </c>
      <c r="V4" s="5" t="s">
        <v>119</v>
      </c>
    </row>
    <row r="5" spans="1:22" ht="15" customHeight="1">
      <c r="A5" s="6">
        <v>1</v>
      </c>
      <c r="B5" s="7">
        <v>46223</v>
      </c>
      <c r="C5" s="6" t="str">
        <f t="shared" ref="C5:C68" si="0">IF(B5="","",CHOOSE(WEEKDAY(B5,2),"Montag","Dienstag","Mittwoch","Donnerstag","Freitag","Samstag","Sonntag"))</f>
        <v>Montag</v>
      </c>
      <c r="D5" s="8">
        <v>0.75</v>
      </c>
      <c r="E5" s="6" t="s">
        <v>284</v>
      </c>
      <c r="F5" s="6" t="s">
        <v>285</v>
      </c>
      <c r="G5" s="6" t="str">
        <f>IF($E5="","",IFERROR(INDEX(Ansprechpartner!$C$4:$C$80,MATCH($E5,AP_Namen,0)),""))</f>
        <v/>
      </c>
      <c r="H5" s="6"/>
      <c r="I5" s="6" t="s">
        <v>286</v>
      </c>
      <c r="J5" s="6" t="s">
        <v>287</v>
      </c>
      <c r="K5" s="6"/>
      <c r="L5" s="10"/>
      <c r="M5" s="11" t="s">
        <v>288</v>
      </c>
      <c r="N5" s="12">
        <v>46224</v>
      </c>
      <c r="O5" s="8">
        <v>0.47499999999999998</v>
      </c>
      <c r="P5" s="6" t="s">
        <v>289</v>
      </c>
      <c r="Q5" s="6"/>
      <c r="R5" s="6"/>
      <c r="S5" s="11" t="s">
        <v>290</v>
      </c>
      <c r="T5" s="11"/>
      <c r="U5" s="10" t="s">
        <v>156</v>
      </c>
      <c r="V5" s="10"/>
    </row>
    <row r="6" spans="1:22" ht="15" customHeight="1">
      <c r="A6" s="6">
        <v>2</v>
      </c>
      <c r="B6" s="7">
        <v>46224</v>
      </c>
      <c r="C6" s="6" t="str">
        <f t="shared" si="0"/>
        <v>Dienstag</v>
      </c>
      <c r="D6" s="8">
        <v>0.59583333333333299</v>
      </c>
      <c r="E6" s="6"/>
      <c r="F6" s="6" t="s">
        <v>121</v>
      </c>
      <c r="G6" s="6" t="str">
        <f>IF($E6="","",IFERROR(INDEX(Ansprechpartner!$C$4:$C$80,MATCH($E6,AP_Namen,0)),""))</f>
        <v/>
      </c>
      <c r="H6" s="6"/>
      <c r="I6" s="6" t="s">
        <v>286</v>
      </c>
      <c r="J6" s="6" t="s">
        <v>291</v>
      </c>
      <c r="K6" s="6"/>
      <c r="L6" s="10"/>
      <c r="M6" s="11" t="s">
        <v>292</v>
      </c>
      <c r="N6" s="12">
        <v>46224</v>
      </c>
      <c r="O6" s="8">
        <v>0.75</v>
      </c>
      <c r="P6" s="6" t="s">
        <v>289</v>
      </c>
      <c r="Q6" s="6"/>
      <c r="R6" s="6"/>
      <c r="S6" s="11" t="s">
        <v>293</v>
      </c>
      <c r="T6" s="11"/>
      <c r="U6" s="10" t="s">
        <v>156</v>
      </c>
      <c r="V6" s="10"/>
    </row>
    <row r="7" spans="1:22" ht="15" customHeight="1">
      <c r="A7" s="6">
        <v>3</v>
      </c>
      <c r="B7" s="7">
        <v>46225</v>
      </c>
      <c r="C7" s="6" t="str">
        <f t="shared" si="0"/>
        <v>Mittwoch</v>
      </c>
      <c r="D7" s="8">
        <v>0.72569444444444398</v>
      </c>
      <c r="E7" s="6"/>
      <c r="F7" s="6" t="s">
        <v>121</v>
      </c>
      <c r="G7" s="6" t="s">
        <v>294</v>
      </c>
      <c r="H7" s="6">
        <v>3011</v>
      </c>
      <c r="I7" s="6" t="s">
        <v>295</v>
      </c>
      <c r="J7" s="6" t="s">
        <v>296</v>
      </c>
      <c r="K7" s="9">
        <v>7.4</v>
      </c>
      <c r="L7" s="10"/>
      <c r="M7" s="11" t="s">
        <v>297</v>
      </c>
      <c r="N7" s="12">
        <v>46226</v>
      </c>
      <c r="O7" s="8">
        <v>0.55555555555555602</v>
      </c>
      <c r="P7" s="6" t="s">
        <v>298</v>
      </c>
      <c r="Q7" s="6"/>
      <c r="R7" s="6"/>
      <c r="S7" s="11" t="s">
        <v>299</v>
      </c>
      <c r="T7" s="11"/>
      <c r="U7" s="10" t="s">
        <v>156</v>
      </c>
      <c r="V7" s="10"/>
    </row>
    <row r="8" spans="1:22" ht="27.75" customHeight="1">
      <c r="A8" s="6">
        <v>4</v>
      </c>
      <c r="B8" s="7">
        <v>46227</v>
      </c>
      <c r="C8" s="6" t="str">
        <f t="shared" si="0"/>
        <v>Freitag</v>
      </c>
      <c r="D8" s="8">
        <v>0.82291666666666696</v>
      </c>
      <c r="E8" s="6" t="s">
        <v>300</v>
      </c>
      <c r="F8" s="6" t="s">
        <v>121</v>
      </c>
      <c r="G8" s="6" t="s">
        <v>301</v>
      </c>
      <c r="H8" s="6">
        <v>3507</v>
      </c>
      <c r="I8" s="6" t="s">
        <v>286</v>
      </c>
      <c r="J8" s="6" t="s">
        <v>287</v>
      </c>
      <c r="K8" s="9">
        <v>123.3</v>
      </c>
      <c r="L8" s="10"/>
      <c r="M8" s="11" t="s">
        <v>302</v>
      </c>
      <c r="N8" s="12">
        <v>46227</v>
      </c>
      <c r="O8" s="8">
        <v>0.94305555555555598</v>
      </c>
      <c r="P8" s="6" t="s">
        <v>298</v>
      </c>
      <c r="Q8" s="6"/>
      <c r="R8" s="6"/>
      <c r="S8" s="11" t="s">
        <v>303</v>
      </c>
      <c r="T8" s="11" t="s">
        <v>304</v>
      </c>
      <c r="U8" s="10"/>
      <c r="V8" s="10"/>
    </row>
    <row r="9" spans="1:22" ht="27.75" customHeight="1">
      <c r="A9" s="6">
        <v>5</v>
      </c>
      <c r="B9" s="7">
        <v>46230</v>
      </c>
      <c r="C9" s="6" t="str">
        <f t="shared" si="0"/>
        <v>Montag</v>
      </c>
      <c r="D9" s="8">
        <v>0.44930555555555601</v>
      </c>
      <c r="E9" s="6" t="s">
        <v>305</v>
      </c>
      <c r="F9" s="6" t="s">
        <v>121</v>
      </c>
      <c r="G9" s="6" t="s">
        <v>306</v>
      </c>
      <c r="H9" s="6">
        <v>3710</v>
      </c>
      <c r="I9" s="6" t="s">
        <v>286</v>
      </c>
      <c r="J9" s="6" t="s">
        <v>307</v>
      </c>
      <c r="K9" s="9">
        <v>100.44499999999999</v>
      </c>
      <c r="L9" s="10"/>
      <c r="M9" s="11" t="s">
        <v>308</v>
      </c>
      <c r="N9" s="12">
        <v>46230</v>
      </c>
      <c r="O9" s="8">
        <v>0.48055555555555601</v>
      </c>
      <c r="P9" s="6" t="s">
        <v>298</v>
      </c>
      <c r="Q9" s="6"/>
      <c r="R9" s="6"/>
      <c r="S9" s="11" t="s">
        <v>309</v>
      </c>
      <c r="T9" s="11" t="s">
        <v>310</v>
      </c>
      <c r="U9" s="10" t="s">
        <v>156</v>
      </c>
      <c r="V9" s="10"/>
    </row>
    <row r="10" spans="1:22" ht="15" customHeight="1">
      <c r="A10" s="6">
        <v>6</v>
      </c>
      <c r="B10" s="7">
        <v>46231</v>
      </c>
      <c r="C10" s="6" t="str">
        <f t="shared" si="0"/>
        <v>Dienstag</v>
      </c>
      <c r="D10" s="8">
        <v>0.3125</v>
      </c>
      <c r="E10" s="6" t="s">
        <v>311</v>
      </c>
      <c r="F10" s="6" t="s">
        <v>312</v>
      </c>
      <c r="G10" s="6" t="s">
        <v>313</v>
      </c>
      <c r="H10" s="6">
        <v>2324</v>
      </c>
      <c r="I10" s="6" t="s">
        <v>314</v>
      </c>
      <c r="J10" s="6" t="s">
        <v>139</v>
      </c>
      <c r="K10" s="9">
        <v>143.54</v>
      </c>
      <c r="L10" s="10"/>
      <c r="M10" s="11" t="s">
        <v>315</v>
      </c>
      <c r="N10" s="12">
        <v>46231</v>
      </c>
      <c r="O10" s="8"/>
      <c r="P10" s="6" t="s">
        <v>316</v>
      </c>
      <c r="Q10" s="6"/>
      <c r="R10" s="6"/>
      <c r="S10" s="11"/>
      <c r="T10" s="11"/>
      <c r="U10" s="10"/>
      <c r="V10" s="10" t="s">
        <v>129</v>
      </c>
    </row>
    <row r="11" spans="1:22" ht="15" customHeight="1">
      <c r="A11" s="6">
        <v>7</v>
      </c>
      <c r="B11" s="7">
        <v>46238</v>
      </c>
      <c r="C11" s="6" t="str">
        <f t="shared" si="0"/>
        <v>Dienstag</v>
      </c>
      <c r="D11" s="8">
        <v>0.39583333333333298</v>
      </c>
      <c r="E11" s="6" t="s">
        <v>317</v>
      </c>
      <c r="F11" s="6" t="s">
        <v>121</v>
      </c>
      <c r="G11" s="6" t="s">
        <v>318</v>
      </c>
      <c r="H11" s="6">
        <v>2324</v>
      </c>
      <c r="I11" s="6" t="s">
        <v>319</v>
      </c>
      <c r="J11" s="6" t="s">
        <v>320</v>
      </c>
      <c r="K11" s="9">
        <v>136.21700000000001</v>
      </c>
      <c r="L11" s="10"/>
      <c r="M11" s="11" t="s">
        <v>321</v>
      </c>
      <c r="N11" s="12">
        <v>46238</v>
      </c>
      <c r="O11" s="8">
        <v>0.43333333333333302</v>
      </c>
      <c r="P11" s="6" t="s">
        <v>69</v>
      </c>
      <c r="Q11" s="6"/>
      <c r="R11" s="6"/>
      <c r="S11" s="11" t="s">
        <v>322</v>
      </c>
      <c r="T11" s="11"/>
      <c r="U11" s="10" t="s">
        <v>156</v>
      </c>
      <c r="V11" s="10"/>
    </row>
    <row r="12" spans="1:22" ht="15" customHeight="1">
      <c r="A12" s="6">
        <v>8</v>
      </c>
      <c r="B12" s="7">
        <v>46238</v>
      </c>
      <c r="C12" s="6" t="str">
        <f t="shared" si="0"/>
        <v>Dienstag</v>
      </c>
      <c r="D12" s="8">
        <v>0.39722222222222198</v>
      </c>
      <c r="E12" s="6" t="s">
        <v>323</v>
      </c>
      <c r="F12" s="6" t="s">
        <v>324</v>
      </c>
      <c r="G12" s="6" t="s">
        <v>325</v>
      </c>
      <c r="H12" s="6">
        <v>2324</v>
      </c>
      <c r="I12" s="6" t="s">
        <v>319</v>
      </c>
      <c r="J12" s="6" t="s">
        <v>326</v>
      </c>
      <c r="K12" s="6" t="s">
        <v>327</v>
      </c>
      <c r="L12" s="10"/>
      <c r="M12" s="11" t="s">
        <v>328</v>
      </c>
      <c r="N12" s="12">
        <v>46238</v>
      </c>
      <c r="O12" s="8">
        <v>0.60555555555555596</v>
      </c>
      <c r="P12" s="6" t="s">
        <v>69</v>
      </c>
      <c r="Q12" s="6"/>
      <c r="R12" s="6"/>
      <c r="S12" s="11" t="s">
        <v>329</v>
      </c>
      <c r="T12" s="11"/>
      <c r="U12" s="10" t="s">
        <v>156</v>
      </c>
      <c r="V12" s="10"/>
    </row>
    <row r="13" spans="1:22" ht="27.75" customHeight="1">
      <c r="A13" s="6">
        <v>9</v>
      </c>
      <c r="B13" s="7">
        <v>46238</v>
      </c>
      <c r="C13" s="6" t="str">
        <f t="shared" si="0"/>
        <v>Dienstag</v>
      </c>
      <c r="D13" s="8">
        <v>0.40277777777777801</v>
      </c>
      <c r="E13" s="6" t="s">
        <v>317</v>
      </c>
      <c r="F13" s="6" t="s">
        <v>121</v>
      </c>
      <c r="G13" s="6" t="s">
        <v>318</v>
      </c>
      <c r="H13" s="6">
        <v>2324</v>
      </c>
      <c r="I13" s="6" t="s">
        <v>319</v>
      </c>
      <c r="J13" s="6" t="s">
        <v>330</v>
      </c>
      <c r="K13" s="6" t="s">
        <v>331</v>
      </c>
      <c r="L13" s="10"/>
      <c r="M13" s="11" t="s">
        <v>332</v>
      </c>
      <c r="N13" s="12">
        <v>46238</v>
      </c>
      <c r="O13" s="8">
        <v>0.48125000000000001</v>
      </c>
      <c r="P13" s="6" t="s">
        <v>69</v>
      </c>
      <c r="Q13" s="6"/>
      <c r="R13" s="6"/>
      <c r="S13" s="11" t="s">
        <v>333</v>
      </c>
      <c r="T13" s="11"/>
      <c r="U13" s="10" t="s">
        <v>156</v>
      </c>
      <c r="V13" s="10"/>
    </row>
    <row r="14" spans="1:22" ht="27.75" customHeight="1">
      <c r="A14" s="6">
        <v>10</v>
      </c>
      <c r="B14" s="7">
        <v>46238</v>
      </c>
      <c r="C14" s="6" t="str">
        <f t="shared" si="0"/>
        <v>Dienstag</v>
      </c>
      <c r="D14" s="8">
        <v>0.45833333333333298</v>
      </c>
      <c r="E14" s="6" t="s">
        <v>317</v>
      </c>
      <c r="F14" s="6" t="s">
        <v>121</v>
      </c>
      <c r="G14" s="6" t="s">
        <v>318</v>
      </c>
      <c r="H14" s="6">
        <v>2324</v>
      </c>
      <c r="I14" s="6" t="s">
        <v>319</v>
      </c>
      <c r="J14" s="6"/>
      <c r="K14" s="6" t="s">
        <v>334</v>
      </c>
      <c r="L14" s="10"/>
      <c r="M14" s="11" t="s">
        <v>335</v>
      </c>
      <c r="N14" s="12">
        <v>46238</v>
      </c>
      <c r="O14" s="8">
        <v>0.49444444444444502</v>
      </c>
      <c r="P14" s="6" t="s">
        <v>69</v>
      </c>
      <c r="Q14" s="6"/>
      <c r="R14" s="6"/>
      <c r="S14" s="11" t="s">
        <v>336</v>
      </c>
      <c r="T14" s="11"/>
      <c r="U14" s="10" t="s">
        <v>156</v>
      </c>
      <c r="V14" s="10"/>
    </row>
    <row r="15" spans="1:22" ht="41.25" customHeight="1">
      <c r="A15" s="6">
        <v>11</v>
      </c>
      <c r="B15" s="7">
        <v>46238</v>
      </c>
      <c r="C15" s="6" t="str">
        <f t="shared" si="0"/>
        <v>Dienstag</v>
      </c>
      <c r="D15" s="8">
        <v>0.79444444444444395</v>
      </c>
      <c r="E15" s="6" t="s">
        <v>317</v>
      </c>
      <c r="F15" s="6" t="s">
        <v>121</v>
      </c>
      <c r="G15" s="6" t="s">
        <v>318</v>
      </c>
      <c r="H15" s="6">
        <v>2324</v>
      </c>
      <c r="I15" s="6" t="s">
        <v>337</v>
      </c>
      <c r="J15" s="6"/>
      <c r="K15" s="9">
        <v>151.30000000000001</v>
      </c>
      <c r="L15" s="10"/>
      <c r="M15" s="11" t="s">
        <v>338</v>
      </c>
      <c r="N15" s="12">
        <v>46239</v>
      </c>
      <c r="O15" s="8">
        <v>0.438194444444444</v>
      </c>
      <c r="P15" s="6" t="s">
        <v>69</v>
      </c>
      <c r="Q15" s="6"/>
      <c r="R15" s="6"/>
      <c r="S15" s="11" t="s">
        <v>339</v>
      </c>
      <c r="T15" s="11"/>
      <c r="U15" s="10" t="s">
        <v>156</v>
      </c>
      <c r="V15" s="10"/>
    </row>
    <row r="16" spans="1:22" ht="27.75" customHeight="1">
      <c r="A16" s="6">
        <v>12</v>
      </c>
      <c r="B16" s="7">
        <v>46239</v>
      </c>
      <c r="C16" s="6" t="str">
        <f t="shared" si="0"/>
        <v>Mittwoch</v>
      </c>
      <c r="D16" s="8">
        <v>0.25972222222222202</v>
      </c>
      <c r="E16" s="6" t="s">
        <v>317</v>
      </c>
      <c r="F16" s="6" t="s">
        <v>121</v>
      </c>
      <c r="G16" s="6" t="s">
        <v>318</v>
      </c>
      <c r="H16" s="6">
        <v>2324</v>
      </c>
      <c r="I16" s="6" t="s">
        <v>319</v>
      </c>
      <c r="J16" s="6" t="s">
        <v>340</v>
      </c>
      <c r="K16" s="6"/>
      <c r="L16" s="10"/>
      <c r="M16" s="11" t="s">
        <v>341</v>
      </c>
      <c r="N16" s="12">
        <v>46239</v>
      </c>
      <c r="O16" s="8">
        <v>0.53611111111111098</v>
      </c>
      <c r="P16" s="6" t="s">
        <v>342</v>
      </c>
      <c r="Q16" s="6"/>
      <c r="R16" s="6"/>
      <c r="S16" s="11" t="s">
        <v>343</v>
      </c>
      <c r="T16" s="11"/>
      <c r="U16" s="10" t="s">
        <v>156</v>
      </c>
      <c r="V16" s="10"/>
    </row>
    <row r="17" spans="1:22" ht="27.75" customHeight="1">
      <c r="A17" s="6">
        <v>13</v>
      </c>
      <c r="B17" s="7">
        <v>46241</v>
      </c>
      <c r="C17" s="6" t="str">
        <f t="shared" si="0"/>
        <v>Freitag</v>
      </c>
      <c r="D17" s="8">
        <v>0.25</v>
      </c>
      <c r="E17" s="6" t="s">
        <v>317</v>
      </c>
      <c r="F17" s="6" t="s">
        <v>121</v>
      </c>
      <c r="G17" s="6" t="s">
        <v>318</v>
      </c>
      <c r="H17" s="6">
        <v>2324</v>
      </c>
      <c r="I17" s="6" t="s">
        <v>319</v>
      </c>
      <c r="J17" s="6" t="s">
        <v>344</v>
      </c>
      <c r="K17" s="6"/>
      <c r="L17" s="10"/>
      <c r="M17" s="11" t="s">
        <v>345</v>
      </c>
      <c r="N17" s="12">
        <v>46241</v>
      </c>
      <c r="O17" s="8">
        <v>0.39583333333333298</v>
      </c>
      <c r="P17" s="13">
        <v>46241</v>
      </c>
      <c r="Q17" s="6"/>
      <c r="R17" s="6"/>
      <c r="S17" s="11" t="s">
        <v>346</v>
      </c>
      <c r="T17" s="11"/>
      <c r="U17" s="10" t="s">
        <v>156</v>
      </c>
      <c r="V17" s="10"/>
    </row>
    <row r="18" spans="1:22" ht="15" customHeight="1">
      <c r="A18" s="6">
        <v>14</v>
      </c>
      <c r="B18" s="7">
        <v>46241</v>
      </c>
      <c r="C18" s="6" t="str">
        <f t="shared" si="0"/>
        <v>Freitag</v>
      </c>
      <c r="D18" s="8">
        <v>0.61458333333333304</v>
      </c>
      <c r="E18" s="6" t="s">
        <v>347</v>
      </c>
      <c r="F18" s="6" t="s">
        <v>121</v>
      </c>
      <c r="G18" s="6" t="s">
        <v>318</v>
      </c>
      <c r="H18" s="6">
        <v>2324</v>
      </c>
      <c r="I18" s="6" t="s">
        <v>319</v>
      </c>
      <c r="J18" s="6" t="s">
        <v>348</v>
      </c>
      <c r="K18" s="9">
        <v>136.71299999999999</v>
      </c>
      <c r="L18" s="10"/>
      <c r="M18" s="11" t="s">
        <v>349</v>
      </c>
      <c r="N18" s="12">
        <v>46241</v>
      </c>
      <c r="O18" s="8">
        <v>0.71041666666666703</v>
      </c>
      <c r="P18" s="6" t="s">
        <v>91</v>
      </c>
      <c r="Q18" s="6"/>
      <c r="R18" s="6"/>
      <c r="S18" s="11" t="s">
        <v>350</v>
      </c>
      <c r="T18" s="11"/>
      <c r="U18" s="10"/>
      <c r="V18" s="10" t="s">
        <v>129</v>
      </c>
    </row>
    <row r="19" spans="1:22" ht="15" customHeight="1">
      <c r="A19" s="6">
        <v>15</v>
      </c>
      <c r="B19" s="7">
        <v>46241</v>
      </c>
      <c r="C19" s="6" t="str">
        <f t="shared" si="0"/>
        <v>Freitag</v>
      </c>
      <c r="D19" s="8">
        <v>0.72569444444444398</v>
      </c>
      <c r="E19" s="6" t="s">
        <v>351</v>
      </c>
      <c r="F19" s="6" t="s">
        <v>121</v>
      </c>
      <c r="G19" s="6" t="s">
        <v>318</v>
      </c>
      <c r="H19" s="6">
        <v>3710</v>
      </c>
      <c r="I19" s="6" t="s">
        <v>352</v>
      </c>
      <c r="J19" s="6" t="s">
        <v>353</v>
      </c>
      <c r="K19" s="6"/>
      <c r="L19" s="10"/>
      <c r="M19" s="11" t="s">
        <v>354</v>
      </c>
      <c r="N19" s="12"/>
      <c r="O19" s="8"/>
      <c r="P19" s="6"/>
      <c r="Q19" s="6"/>
      <c r="R19" s="6"/>
      <c r="S19" s="11" t="s">
        <v>355</v>
      </c>
      <c r="T19" s="11"/>
      <c r="U19" s="10"/>
      <c r="V19" s="10" t="s">
        <v>129</v>
      </c>
    </row>
    <row r="20" spans="1:22" ht="15" customHeight="1">
      <c r="A20" s="6">
        <v>16</v>
      </c>
      <c r="B20" s="7">
        <v>46242</v>
      </c>
      <c r="C20" s="6" t="str">
        <f t="shared" si="0"/>
        <v>Samstag</v>
      </c>
      <c r="D20" s="8">
        <v>0.49166666666666697</v>
      </c>
      <c r="E20" s="6" t="s">
        <v>356</v>
      </c>
      <c r="F20" s="6" t="str">
        <f>IF($E20="","",IFERROR(INDEX(Ansprechpartner!$F$4:$F$80,MATCH($E20,AP_Namen,0)),""))</f>
        <v/>
      </c>
      <c r="G20" s="6" t="s">
        <v>318</v>
      </c>
      <c r="H20" s="6">
        <v>2324</v>
      </c>
      <c r="I20" s="6" t="s">
        <v>352</v>
      </c>
      <c r="J20" s="6" t="s">
        <v>357</v>
      </c>
      <c r="K20" s="9">
        <v>153.916</v>
      </c>
      <c r="L20" s="10"/>
      <c r="M20" s="11" t="s">
        <v>358</v>
      </c>
      <c r="N20" s="12">
        <v>46242</v>
      </c>
      <c r="O20" s="8"/>
      <c r="P20" s="6" t="s">
        <v>89</v>
      </c>
      <c r="Q20" s="6"/>
      <c r="R20" s="6"/>
      <c r="S20" s="11" t="s">
        <v>359</v>
      </c>
      <c r="T20" s="11"/>
      <c r="U20" s="10" t="s">
        <v>156</v>
      </c>
      <c r="V20" s="10"/>
    </row>
    <row r="21" spans="1:22" ht="27.75" customHeight="1">
      <c r="A21" s="6">
        <v>17</v>
      </c>
      <c r="B21" s="7">
        <v>46242</v>
      </c>
      <c r="C21" s="6" t="str">
        <f t="shared" si="0"/>
        <v>Samstag</v>
      </c>
      <c r="D21" s="8"/>
      <c r="E21" s="6" t="s">
        <v>360</v>
      </c>
      <c r="F21" s="6" t="str">
        <f>IF($E21="","",IFERROR(INDEX(Ansprechpartner!$F$4:$F$80,MATCH($E21,AP_Namen,0)),""))</f>
        <v/>
      </c>
      <c r="G21" s="6" t="s">
        <v>318</v>
      </c>
      <c r="H21" s="6">
        <v>3507</v>
      </c>
      <c r="I21" s="6" t="s">
        <v>352</v>
      </c>
      <c r="J21" s="6" t="s">
        <v>361</v>
      </c>
      <c r="K21" s="9">
        <v>125.497</v>
      </c>
      <c r="L21" s="10"/>
      <c r="M21" s="11" t="s">
        <v>362</v>
      </c>
      <c r="N21" s="12">
        <v>46242</v>
      </c>
      <c r="O21" s="8">
        <v>0.73958333333333304</v>
      </c>
      <c r="P21" s="6" t="s">
        <v>89</v>
      </c>
      <c r="Q21" s="6"/>
      <c r="R21" s="6"/>
      <c r="S21" s="11" t="s">
        <v>363</v>
      </c>
      <c r="T21" s="11"/>
      <c r="U21" s="10" t="s">
        <v>156</v>
      </c>
      <c r="V21" s="10"/>
    </row>
    <row r="22" spans="1:22" ht="27.75" customHeight="1">
      <c r="A22" s="6">
        <v>18</v>
      </c>
      <c r="B22" s="7">
        <v>46242</v>
      </c>
      <c r="C22" s="6" t="str">
        <f t="shared" si="0"/>
        <v>Samstag</v>
      </c>
      <c r="D22" s="8"/>
      <c r="E22" s="6" t="s">
        <v>360</v>
      </c>
      <c r="F22" s="6" t="str">
        <f>IF($E22="","",IFERROR(INDEX(Ansprechpartner!$F$4:$F$80,MATCH($E22,AP_Namen,0)),""))</f>
        <v/>
      </c>
      <c r="G22" s="6" t="s">
        <v>318</v>
      </c>
      <c r="H22" s="6">
        <v>3507</v>
      </c>
      <c r="I22" s="6" t="s">
        <v>352</v>
      </c>
      <c r="J22" s="6" t="s">
        <v>364</v>
      </c>
      <c r="K22" s="9">
        <v>125.4</v>
      </c>
      <c r="L22" s="10"/>
      <c r="M22" s="11" t="s">
        <v>362</v>
      </c>
      <c r="N22" s="12">
        <v>46242</v>
      </c>
      <c r="O22" s="8">
        <v>0.75694444444444398</v>
      </c>
      <c r="P22" s="6" t="s">
        <v>89</v>
      </c>
      <c r="Q22" s="6"/>
      <c r="R22" s="6"/>
      <c r="S22" s="11" t="s">
        <v>365</v>
      </c>
      <c r="T22" s="11"/>
      <c r="U22" s="10" t="s">
        <v>156</v>
      </c>
      <c r="V22" s="10"/>
    </row>
    <row r="23" spans="1:22" ht="15" customHeight="1">
      <c r="A23" s="6">
        <v>19</v>
      </c>
      <c r="B23" s="7">
        <v>46244</v>
      </c>
      <c r="C23" s="6" t="str">
        <f t="shared" si="0"/>
        <v>Montag</v>
      </c>
      <c r="D23" s="8">
        <v>0.34166666666666701</v>
      </c>
      <c r="E23" s="6" t="s">
        <v>366</v>
      </c>
      <c r="F23" s="6" t="str">
        <f>IF($E23="","",IFERROR(INDEX(Ansprechpartner!$F$4:$F$80,MATCH($E23,AP_Namen,0)),""))</f>
        <v/>
      </c>
      <c r="G23" s="6" t="s">
        <v>318</v>
      </c>
      <c r="H23" s="6">
        <v>2324</v>
      </c>
      <c r="I23" s="6" t="s">
        <v>319</v>
      </c>
      <c r="J23" s="6" t="s">
        <v>367</v>
      </c>
      <c r="K23" s="6"/>
      <c r="L23" s="10"/>
      <c r="M23" s="11" t="s">
        <v>368</v>
      </c>
      <c r="N23" s="12">
        <v>46244</v>
      </c>
      <c r="O23" s="8">
        <v>0.37708333333333299</v>
      </c>
      <c r="P23" s="6" t="s">
        <v>298</v>
      </c>
      <c r="Q23" s="6"/>
      <c r="R23" s="6"/>
      <c r="S23" s="11" t="s">
        <v>369</v>
      </c>
      <c r="T23" s="11"/>
      <c r="U23" s="10" t="s">
        <v>156</v>
      </c>
      <c r="V23" s="10"/>
    </row>
    <row r="24" spans="1:22" ht="15" customHeight="1">
      <c r="A24" s="6"/>
      <c r="B24" s="7"/>
      <c r="C24" s="6" t="str">
        <f t="shared" si="0"/>
        <v/>
      </c>
      <c r="D24" s="8"/>
      <c r="E24" s="6"/>
      <c r="F24" s="6" t="str">
        <f>IF($E24="","",IFERROR(INDEX(Ansprechpartner!$F$4:$F$80,MATCH($E24,AP_Namen,0)),""))</f>
        <v/>
      </c>
      <c r="G24" s="6" t="str">
        <f>IF($E24="","",IFERROR(INDEX(Ansprechpartner!$C$4:$C$80,MATCH($E24,AP_Namen,0)),""))</f>
        <v/>
      </c>
      <c r="H24" s="6"/>
      <c r="I24" s="6"/>
      <c r="J24" s="6"/>
      <c r="K24" s="6"/>
      <c r="L24" s="10"/>
      <c r="M24" s="11"/>
      <c r="N24" s="12"/>
      <c r="O24" s="8"/>
      <c r="P24" s="6"/>
      <c r="Q24" s="6"/>
      <c r="R24" s="6"/>
      <c r="S24" s="11"/>
      <c r="T24" s="11"/>
      <c r="U24" s="10"/>
      <c r="V24" s="10"/>
    </row>
    <row r="25" spans="1:22" ht="15" customHeight="1">
      <c r="A25" s="6"/>
      <c r="B25" s="7"/>
      <c r="C25" s="6" t="str">
        <f t="shared" si="0"/>
        <v/>
      </c>
      <c r="D25" s="8"/>
      <c r="E25" s="6"/>
      <c r="F25" s="6" t="str">
        <f>IF($E25="","",IFERROR(INDEX(Ansprechpartner!$F$4:$F$80,MATCH($E25,AP_Namen,0)),""))</f>
        <v/>
      </c>
      <c r="G25" s="6" t="str">
        <f>IF($E25="","",IFERROR(INDEX(Ansprechpartner!$C$4:$C$80,MATCH($E25,AP_Namen,0)),""))</f>
        <v/>
      </c>
      <c r="H25" s="6"/>
      <c r="I25" s="6"/>
      <c r="J25" s="6"/>
      <c r="K25" s="6"/>
      <c r="L25" s="10"/>
      <c r="M25" s="11"/>
      <c r="N25" s="12"/>
      <c r="O25" s="8"/>
      <c r="P25" s="6"/>
      <c r="Q25" s="6"/>
      <c r="R25" s="6"/>
      <c r="S25" s="11"/>
      <c r="T25" s="11"/>
      <c r="U25" s="10"/>
      <c r="V25" s="10"/>
    </row>
    <row r="26" spans="1:22" ht="15" customHeight="1">
      <c r="A26" s="6"/>
      <c r="B26" s="7"/>
      <c r="C26" s="6" t="str">
        <f t="shared" si="0"/>
        <v/>
      </c>
      <c r="D26" s="8"/>
      <c r="E26" s="6"/>
      <c r="F26" s="6" t="str">
        <f>IF($E26="","",IFERROR(INDEX(Ansprechpartner!$F$4:$F$80,MATCH($E26,AP_Namen,0)),""))</f>
        <v/>
      </c>
      <c r="G26" s="6" t="str">
        <f>IF($E26="","",IFERROR(INDEX(Ansprechpartner!$C$4:$C$80,MATCH($E26,AP_Namen,0)),""))</f>
        <v/>
      </c>
      <c r="H26" s="6"/>
      <c r="I26" s="6"/>
      <c r="J26" s="6"/>
      <c r="K26" s="6"/>
      <c r="L26" s="10"/>
      <c r="M26" s="11"/>
      <c r="N26" s="12"/>
      <c r="O26" s="8"/>
      <c r="P26" s="6"/>
      <c r="Q26" s="6"/>
      <c r="R26" s="6"/>
      <c r="S26" s="11"/>
      <c r="T26" s="11"/>
      <c r="U26" s="10"/>
      <c r="V26" s="10"/>
    </row>
    <row r="27" spans="1:22" ht="15" customHeight="1">
      <c r="A27" s="6"/>
      <c r="B27" s="7"/>
      <c r="C27" s="6" t="str">
        <f t="shared" si="0"/>
        <v/>
      </c>
      <c r="D27" s="8"/>
      <c r="E27" s="6"/>
      <c r="F27" s="6" t="str">
        <f>IF($E27="","",IFERROR(INDEX(Ansprechpartner!$F$4:$F$80,MATCH($E27,AP_Namen,0)),""))</f>
        <v/>
      </c>
      <c r="G27" s="6" t="str">
        <f>IF($E27="","",IFERROR(INDEX(Ansprechpartner!$C$4:$C$80,MATCH($E27,AP_Namen,0)),""))</f>
        <v/>
      </c>
      <c r="H27" s="6"/>
      <c r="I27" s="6"/>
      <c r="J27" s="6"/>
      <c r="K27" s="6"/>
      <c r="L27" s="10"/>
      <c r="M27" s="11"/>
      <c r="N27" s="12"/>
      <c r="O27" s="8"/>
      <c r="P27" s="6"/>
      <c r="Q27" s="6"/>
      <c r="R27" s="6"/>
      <c r="S27" s="11"/>
      <c r="T27" s="11"/>
      <c r="U27" s="10"/>
      <c r="V27" s="10"/>
    </row>
    <row r="28" spans="1:22" ht="15" customHeight="1">
      <c r="A28" s="6"/>
      <c r="B28" s="7"/>
      <c r="C28" s="6" t="str">
        <f t="shared" si="0"/>
        <v/>
      </c>
      <c r="D28" s="8"/>
      <c r="E28" s="6"/>
      <c r="F28" s="6" t="str">
        <f>IF($E28="","",IFERROR(INDEX(Ansprechpartner!$F$4:$F$80,MATCH($E28,AP_Namen,0)),""))</f>
        <v/>
      </c>
      <c r="G28" s="6" t="str">
        <f>IF($E28="","",IFERROR(INDEX(Ansprechpartner!$C$4:$C$80,MATCH($E28,AP_Namen,0)),""))</f>
        <v/>
      </c>
      <c r="H28" s="6"/>
      <c r="I28" s="6"/>
      <c r="J28" s="6"/>
      <c r="K28" s="6"/>
      <c r="L28" s="10"/>
      <c r="M28" s="11"/>
      <c r="N28" s="12"/>
      <c r="O28" s="8"/>
      <c r="P28" s="6"/>
      <c r="Q28" s="6"/>
      <c r="R28" s="6"/>
      <c r="S28" s="11"/>
      <c r="T28" s="11"/>
      <c r="U28" s="10"/>
      <c r="V28" s="10"/>
    </row>
    <row r="29" spans="1:22" ht="15" customHeight="1">
      <c r="A29" s="6"/>
      <c r="B29" s="7"/>
      <c r="C29" s="6" t="str">
        <f t="shared" si="0"/>
        <v/>
      </c>
      <c r="D29" s="8"/>
      <c r="E29" s="6"/>
      <c r="F29" s="6" t="str">
        <f>IF($E29="","",IFERROR(INDEX(Ansprechpartner!$F$4:$F$80,MATCH($E29,AP_Namen,0)),""))</f>
        <v/>
      </c>
      <c r="G29" s="6" t="str">
        <f>IF($E29="","",IFERROR(INDEX(Ansprechpartner!$C$4:$C$80,MATCH($E29,AP_Namen,0)),""))</f>
        <v/>
      </c>
      <c r="H29" s="6"/>
      <c r="I29" s="6"/>
      <c r="J29" s="6"/>
      <c r="K29" s="6"/>
      <c r="L29" s="10"/>
      <c r="M29" s="11"/>
      <c r="N29" s="12"/>
      <c r="O29" s="8"/>
      <c r="P29" s="6"/>
      <c r="Q29" s="6"/>
      <c r="R29" s="6"/>
      <c r="S29" s="11"/>
      <c r="T29" s="11"/>
      <c r="U29" s="10"/>
      <c r="V29" s="10"/>
    </row>
    <row r="30" spans="1:22" ht="15" customHeight="1">
      <c r="A30" s="6"/>
      <c r="B30" s="7"/>
      <c r="C30" s="6" t="str">
        <f t="shared" si="0"/>
        <v/>
      </c>
      <c r="D30" s="8"/>
      <c r="E30" s="6"/>
      <c r="F30" s="6" t="str">
        <f>IF($E30="","",IFERROR(INDEX(Ansprechpartner!$F$4:$F$80,MATCH($E30,AP_Namen,0)),""))</f>
        <v/>
      </c>
      <c r="G30" s="6" t="str">
        <f>IF($E30="","",IFERROR(INDEX(Ansprechpartner!$C$4:$C$80,MATCH($E30,AP_Namen,0)),""))</f>
        <v/>
      </c>
      <c r="H30" s="6"/>
      <c r="I30" s="6"/>
      <c r="J30" s="6"/>
      <c r="K30" s="6"/>
      <c r="L30" s="10"/>
      <c r="M30" s="11"/>
      <c r="N30" s="12"/>
      <c r="O30" s="8"/>
      <c r="P30" s="6"/>
      <c r="Q30" s="6"/>
      <c r="R30" s="6"/>
      <c r="S30" s="11"/>
      <c r="T30" s="11"/>
      <c r="U30" s="10"/>
      <c r="V30" s="10"/>
    </row>
    <row r="31" spans="1:22" ht="15" customHeight="1">
      <c r="A31" s="6"/>
      <c r="B31" s="7"/>
      <c r="C31" s="6" t="str">
        <f t="shared" si="0"/>
        <v/>
      </c>
      <c r="D31" s="8"/>
      <c r="E31" s="6"/>
      <c r="F31" s="6" t="str">
        <f>IF($E31="","",IFERROR(INDEX(Ansprechpartner!$F$4:$F$80,MATCH($E31,AP_Namen,0)),""))</f>
        <v/>
      </c>
      <c r="G31" s="6" t="str">
        <f>IF($E31="","",IFERROR(INDEX(Ansprechpartner!$C$4:$C$80,MATCH($E31,AP_Namen,0)),""))</f>
        <v/>
      </c>
      <c r="H31" s="6"/>
      <c r="I31" s="6"/>
      <c r="J31" s="6"/>
      <c r="K31" s="6"/>
      <c r="L31" s="10"/>
      <c r="M31" s="11"/>
      <c r="N31" s="12"/>
      <c r="O31" s="8"/>
      <c r="P31" s="6"/>
      <c r="Q31" s="6"/>
      <c r="R31" s="6"/>
      <c r="S31" s="11"/>
      <c r="T31" s="11"/>
      <c r="U31" s="10"/>
      <c r="V31" s="10"/>
    </row>
    <row r="32" spans="1:22" ht="15" customHeight="1">
      <c r="A32" s="6"/>
      <c r="B32" s="7"/>
      <c r="C32" s="6" t="str">
        <f t="shared" si="0"/>
        <v/>
      </c>
      <c r="D32" s="8"/>
      <c r="E32" s="6"/>
      <c r="F32" s="6" t="str">
        <f>IF($E32="","",IFERROR(INDEX(Ansprechpartner!$F$4:$F$80,MATCH($E32,AP_Namen,0)),""))</f>
        <v/>
      </c>
      <c r="G32" s="6" t="str">
        <f>IF($E32="","",IFERROR(INDEX(Ansprechpartner!$C$4:$C$80,MATCH($E32,AP_Namen,0)),""))</f>
        <v/>
      </c>
      <c r="H32" s="6"/>
      <c r="I32" s="6"/>
      <c r="J32" s="6"/>
      <c r="K32" s="6"/>
      <c r="L32" s="10"/>
      <c r="M32" s="11"/>
      <c r="N32" s="12"/>
      <c r="O32" s="8"/>
      <c r="P32" s="6"/>
      <c r="Q32" s="6"/>
      <c r="R32" s="6"/>
      <c r="S32" s="11"/>
      <c r="T32" s="11"/>
      <c r="U32" s="10"/>
      <c r="V32" s="10"/>
    </row>
    <row r="33" spans="1:22" ht="15" customHeight="1">
      <c r="A33" s="6"/>
      <c r="B33" s="7"/>
      <c r="C33" s="6" t="str">
        <f t="shared" si="0"/>
        <v/>
      </c>
      <c r="D33" s="8"/>
      <c r="E33" s="6"/>
      <c r="F33" s="6" t="str">
        <f>IF($E33="","",IFERROR(INDEX(Ansprechpartner!$F$4:$F$80,MATCH($E33,AP_Namen,0)),""))</f>
        <v/>
      </c>
      <c r="G33" s="6" t="str">
        <f>IF($E33="","",IFERROR(INDEX(Ansprechpartner!$C$4:$C$80,MATCH($E33,AP_Namen,0)),""))</f>
        <v/>
      </c>
      <c r="H33" s="6"/>
      <c r="I33" s="6"/>
      <c r="J33" s="6"/>
      <c r="K33" s="6"/>
      <c r="L33" s="10"/>
      <c r="M33" s="11"/>
      <c r="N33" s="12"/>
      <c r="O33" s="8"/>
      <c r="P33" s="6"/>
      <c r="Q33" s="6"/>
      <c r="R33" s="6"/>
      <c r="S33" s="11"/>
      <c r="T33" s="11"/>
      <c r="U33" s="10"/>
      <c r="V33" s="10"/>
    </row>
    <row r="34" spans="1:22" ht="15" customHeight="1">
      <c r="A34" s="6"/>
      <c r="B34" s="7"/>
      <c r="C34" s="6" t="str">
        <f t="shared" si="0"/>
        <v/>
      </c>
      <c r="D34" s="8"/>
      <c r="E34" s="6"/>
      <c r="F34" s="6" t="str">
        <f>IF($E34="","",IFERROR(INDEX(Ansprechpartner!$F$4:$F$80,MATCH($E34,AP_Namen,0)),""))</f>
        <v/>
      </c>
      <c r="G34" s="6" t="str">
        <f>IF($E34="","",IFERROR(INDEX(Ansprechpartner!$C$4:$C$80,MATCH($E34,AP_Namen,0)),""))</f>
        <v/>
      </c>
      <c r="H34" s="6"/>
      <c r="I34" s="6"/>
      <c r="J34" s="6"/>
      <c r="K34" s="6"/>
      <c r="L34" s="10"/>
      <c r="M34" s="11"/>
      <c r="N34" s="12"/>
      <c r="O34" s="8"/>
      <c r="P34" s="6"/>
      <c r="Q34" s="6"/>
      <c r="R34" s="6"/>
      <c r="S34" s="11"/>
      <c r="T34" s="11"/>
      <c r="U34" s="10"/>
      <c r="V34" s="10"/>
    </row>
    <row r="35" spans="1:22" ht="15" customHeight="1">
      <c r="A35" s="6"/>
      <c r="B35" s="7"/>
      <c r="C35" s="6" t="str">
        <f t="shared" si="0"/>
        <v/>
      </c>
      <c r="D35" s="8"/>
      <c r="E35" s="6"/>
      <c r="F35" s="6" t="str">
        <f>IF($E35="","",IFERROR(INDEX(Ansprechpartner!$F$4:$F$80,MATCH($E35,AP_Namen,0)),""))</f>
        <v/>
      </c>
      <c r="G35" s="6" t="str">
        <f>IF($E35="","",IFERROR(INDEX(Ansprechpartner!$C$4:$C$80,MATCH($E35,AP_Namen,0)),""))</f>
        <v/>
      </c>
      <c r="H35" s="6"/>
      <c r="I35" s="6"/>
      <c r="J35" s="6"/>
      <c r="K35" s="6"/>
      <c r="L35" s="10"/>
      <c r="M35" s="11"/>
      <c r="N35" s="12"/>
      <c r="O35" s="8"/>
      <c r="P35" s="6"/>
      <c r="Q35" s="6"/>
      <c r="R35" s="6"/>
      <c r="S35" s="11"/>
      <c r="T35" s="11"/>
      <c r="U35" s="10"/>
      <c r="V35" s="10"/>
    </row>
    <row r="36" spans="1:22" ht="15" customHeight="1">
      <c r="A36" s="6"/>
      <c r="B36" s="7"/>
      <c r="C36" s="6" t="str">
        <f t="shared" si="0"/>
        <v/>
      </c>
      <c r="D36" s="8"/>
      <c r="E36" s="6"/>
      <c r="F36" s="6" t="str">
        <f>IF($E36="","",IFERROR(INDEX(Ansprechpartner!$F$4:$F$80,MATCH($E36,AP_Namen,0)),""))</f>
        <v/>
      </c>
      <c r="G36" s="6" t="str">
        <f>IF($E36="","",IFERROR(INDEX(Ansprechpartner!$C$4:$C$80,MATCH($E36,AP_Namen,0)),""))</f>
        <v/>
      </c>
      <c r="H36" s="6"/>
      <c r="I36" s="6"/>
      <c r="J36" s="6"/>
      <c r="K36" s="6"/>
      <c r="L36" s="10"/>
      <c r="M36" s="11"/>
      <c r="N36" s="12"/>
      <c r="O36" s="8"/>
      <c r="P36" s="6"/>
      <c r="Q36" s="6"/>
      <c r="R36" s="6"/>
      <c r="S36" s="11"/>
      <c r="T36" s="11"/>
      <c r="U36" s="10"/>
      <c r="V36" s="10"/>
    </row>
    <row r="37" spans="1:22" ht="15" customHeight="1">
      <c r="A37" s="6"/>
      <c r="B37" s="7"/>
      <c r="C37" s="6" t="str">
        <f t="shared" si="0"/>
        <v/>
      </c>
      <c r="D37" s="8"/>
      <c r="E37" s="6"/>
      <c r="F37" s="6" t="str">
        <f>IF($E37="","",IFERROR(INDEX(Ansprechpartner!$F$4:$F$80,MATCH($E37,AP_Namen,0)),""))</f>
        <v/>
      </c>
      <c r="G37" s="6" t="str">
        <f>IF($E37="","",IFERROR(INDEX(Ansprechpartner!$C$4:$C$80,MATCH($E37,AP_Namen,0)),""))</f>
        <v/>
      </c>
      <c r="H37" s="6"/>
      <c r="I37" s="6"/>
      <c r="J37" s="6"/>
      <c r="K37" s="6"/>
      <c r="L37" s="10"/>
      <c r="M37" s="11"/>
      <c r="N37" s="12"/>
      <c r="O37" s="8"/>
      <c r="P37" s="6"/>
      <c r="Q37" s="6"/>
      <c r="R37" s="6"/>
      <c r="S37" s="11"/>
      <c r="T37" s="11"/>
      <c r="U37" s="10"/>
      <c r="V37" s="10"/>
    </row>
    <row r="38" spans="1:22" ht="15" customHeight="1">
      <c r="A38" s="6"/>
      <c r="B38" s="7"/>
      <c r="C38" s="6" t="str">
        <f t="shared" si="0"/>
        <v/>
      </c>
      <c r="D38" s="8"/>
      <c r="E38" s="6"/>
      <c r="F38" s="6" t="str">
        <f>IF($E38="","",IFERROR(INDEX(Ansprechpartner!$F$4:$F$80,MATCH($E38,AP_Namen,0)),""))</f>
        <v/>
      </c>
      <c r="G38" s="6" t="str">
        <f>IF($E38="","",IFERROR(INDEX(Ansprechpartner!$C$4:$C$80,MATCH($E38,AP_Namen,0)),""))</f>
        <v/>
      </c>
      <c r="H38" s="6"/>
      <c r="I38" s="6"/>
      <c r="J38" s="6"/>
      <c r="K38" s="6"/>
      <c r="L38" s="10"/>
      <c r="M38" s="11"/>
      <c r="N38" s="12"/>
      <c r="O38" s="8"/>
      <c r="P38" s="6"/>
      <c r="Q38" s="6"/>
      <c r="R38" s="6"/>
      <c r="S38" s="11"/>
      <c r="T38" s="11"/>
      <c r="U38" s="10"/>
      <c r="V38" s="10"/>
    </row>
    <row r="39" spans="1:22" ht="15" customHeight="1">
      <c r="A39" s="6"/>
      <c r="B39" s="7"/>
      <c r="C39" s="6" t="str">
        <f t="shared" si="0"/>
        <v/>
      </c>
      <c r="D39" s="8"/>
      <c r="E39" s="6"/>
      <c r="F39" s="6" t="str">
        <f>IF($E39="","",IFERROR(INDEX(Ansprechpartner!$F$4:$F$80,MATCH($E39,AP_Namen,0)),""))</f>
        <v/>
      </c>
      <c r="G39" s="6" t="str">
        <f>IF($E39="","",IFERROR(INDEX(Ansprechpartner!$C$4:$C$80,MATCH($E39,AP_Namen,0)),""))</f>
        <v/>
      </c>
      <c r="H39" s="6"/>
      <c r="I39" s="6"/>
      <c r="J39" s="6"/>
      <c r="K39" s="6"/>
      <c r="L39" s="10"/>
      <c r="M39" s="11"/>
      <c r="N39" s="12"/>
      <c r="O39" s="8"/>
      <c r="P39" s="6"/>
      <c r="Q39" s="6"/>
      <c r="R39" s="6"/>
      <c r="S39" s="11"/>
      <c r="T39" s="11"/>
      <c r="U39" s="10"/>
      <c r="V39" s="10"/>
    </row>
    <row r="40" spans="1:22" ht="15" customHeight="1">
      <c r="A40" s="6"/>
      <c r="B40" s="7"/>
      <c r="C40" s="6" t="str">
        <f t="shared" si="0"/>
        <v/>
      </c>
      <c r="D40" s="8"/>
      <c r="E40" s="6"/>
      <c r="F40" s="6" t="str">
        <f>IF($E40="","",IFERROR(INDEX(Ansprechpartner!$F$4:$F$80,MATCH($E40,AP_Namen,0)),""))</f>
        <v/>
      </c>
      <c r="G40" s="6" t="str">
        <f>IF($E40="","",IFERROR(INDEX(Ansprechpartner!$C$4:$C$80,MATCH($E40,AP_Namen,0)),""))</f>
        <v/>
      </c>
      <c r="H40" s="6"/>
      <c r="I40" s="6"/>
      <c r="J40" s="6"/>
      <c r="K40" s="6"/>
      <c r="L40" s="10"/>
      <c r="M40" s="11"/>
      <c r="N40" s="12"/>
      <c r="O40" s="8"/>
      <c r="P40" s="6"/>
      <c r="Q40" s="6"/>
      <c r="R40" s="6"/>
      <c r="S40" s="11"/>
      <c r="T40" s="11"/>
      <c r="U40" s="10"/>
      <c r="V40" s="10"/>
    </row>
    <row r="41" spans="1:22" ht="15" customHeight="1">
      <c r="A41" s="6"/>
      <c r="B41" s="7"/>
      <c r="C41" s="6" t="str">
        <f t="shared" si="0"/>
        <v/>
      </c>
      <c r="D41" s="8"/>
      <c r="E41" s="6"/>
      <c r="F41" s="6" t="str">
        <f>IF($E41="","",IFERROR(INDEX(Ansprechpartner!$F$4:$F$80,MATCH($E41,AP_Namen,0)),""))</f>
        <v/>
      </c>
      <c r="G41" s="6" t="str">
        <f>IF($E41="","",IFERROR(INDEX(Ansprechpartner!$C$4:$C$80,MATCH($E41,AP_Namen,0)),""))</f>
        <v/>
      </c>
      <c r="H41" s="6"/>
      <c r="I41" s="6"/>
      <c r="J41" s="6"/>
      <c r="K41" s="6"/>
      <c r="L41" s="10"/>
      <c r="M41" s="11"/>
      <c r="N41" s="12"/>
      <c r="O41" s="8"/>
      <c r="P41" s="6"/>
      <c r="Q41" s="6"/>
      <c r="R41" s="6"/>
      <c r="S41" s="11"/>
      <c r="T41" s="11"/>
      <c r="U41" s="10"/>
      <c r="V41" s="10"/>
    </row>
    <row r="42" spans="1:22" ht="15" customHeight="1">
      <c r="A42" s="6"/>
      <c r="B42" s="7"/>
      <c r="C42" s="6" t="str">
        <f t="shared" si="0"/>
        <v/>
      </c>
      <c r="D42" s="8"/>
      <c r="E42" s="6"/>
      <c r="F42" s="6" t="str">
        <f>IF($E42="","",IFERROR(INDEX(Ansprechpartner!$F$4:$F$80,MATCH($E42,AP_Namen,0)),""))</f>
        <v/>
      </c>
      <c r="G42" s="6" t="str">
        <f>IF($E42="","",IFERROR(INDEX(Ansprechpartner!$C$4:$C$80,MATCH($E42,AP_Namen,0)),""))</f>
        <v/>
      </c>
      <c r="H42" s="6"/>
      <c r="I42" s="6"/>
      <c r="J42" s="6"/>
      <c r="K42" s="6"/>
      <c r="L42" s="10"/>
      <c r="M42" s="11"/>
      <c r="N42" s="12"/>
      <c r="O42" s="8"/>
      <c r="P42" s="6"/>
      <c r="Q42" s="6"/>
      <c r="R42" s="6"/>
      <c r="S42" s="11"/>
      <c r="T42" s="11"/>
      <c r="U42" s="10"/>
      <c r="V42" s="10"/>
    </row>
    <row r="43" spans="1:22" ht="15" customHeight="1">
      <c r="A43" s="6"/>
      <c r="B43" s="7"/>
      <c r="C43" s="6" t="str">
        <f t="shared" si="0"/>
        <v/>
      </c>
      <c r="D43" s="8"/>
      <c r="E43" s="6"/>
      <c r="F43" s="6" t="str">
        <f>IF($E43="","",IFERROR(INDEX(Ansprechpartner!$F$4:$F$80,MATCH($E43,AP_Namen,0)),""))</f>
        <v/>
      </c>
      <c r="G43" s="6" t="str">
        <f>IF($E43="","",IFERROR(INDEX(Ansprechpartner!$C$4:$C$80,MATCH($E43,AP_Namen,0)),""))</f>
        <v/>
      </c>
      <c r="H43" s="6"/>
      <c r="I43" s="6"/>
      <c r="J43" s="6"/>
      <c r="K43" s="6"/>
      <c r="L43" s="10"/>
      <c r="M43" s="11"/>
      <c r="N43" s="12"/>
      <c r="O43" s="8"/>
      <c r="P43" s="6"/>
      <c r="Q43" s="6"/>
      <c r="R43" s="6"/>
      <c r="S43" s="11"/>
      <c r="T43" s="11"/>
      <c r="U43" s="10"/>
      <c r="V43" s="10"/>
    </row>
    <row r="44" spans="1:22" ht="15" customHeight="1">
      <c r="A44" s="6"/>
      <c r="B44" s="7"/>
      <c r="C44" s="6" t="str">
        <f t="shared" si="0"/>
        <v/>
      </c>
      <c r="D44" s="8"/>
      <c r="E44" s="6"/>
      <c r="F44" s="6" t="str">
        <f>IF($E44="","",IFERROR(INDEX(Ansprechpartner!$F$4:$F$80,MATCH($E44,AP_Namen,0)),""))</f>
        <v/>
      </c>
      <c r="G44" s="6" t="str">
        <f>IF($E44="","",IFERROR(INDEX(Ansprechpartner!$C$4:$C$80,MATCH($E44,AP_Namen,0)),""))</f>
        <v/>
      </c>
      <c r="H44" s="6"/>
      <c r="I44" s="6"/>
      <c r="J44" s="6"/>
      <c r="K44" s="6"/>
      <c r="L44" s="10"/>
      <c r="M44" s="11"/>
      <c r="N44" s="12"/>
      <c r="O44" s="8"/>
      <c r="P44" s="6"/>
      <c r="Q44" s="6"/>
      <c r="R44" s="6"/>
      <c r="S44" s="11"/>
      <c r="T44" s="11"/>
      <c r="U44" s="10"/>
      <c r="V44" s="10"/>
    </row>
    <row r="45" spans="1:22" ht="15" customHeight="1">
      <c r="A45" s="6"/>
      <c r="B45" s="7"/>
      <c r="C45" s="6" t="str">
        <f t="shared" si="0"/>
        <v/>
      </c>
      <c r="D45" s="8"/>
      <c r="E45" s="6"/>
      <c r="F45" s="6" t="str">
        <f>IF($E45="","",IFERROR(INDEX(Ansprechpartner!$F$4:$F$80,MATCH($E45,AP_Namen,0)),""))</f>
        <v/>
      </c>
      <c r="G45" s="6" t="str">
        <f>IF($E45="","",IFERROR(INDEX(Ansprechpartner!$C$4:$C$80,MATCH($E45,AP_Namen,0)),""))</f>
        <v/>
      </c>
      <c r="H45" s="6"/>
      <c r="I45" s="6"/>
      <c r="J45" s="6"/>
      <c r="K45" s="6"/>
      <c r="L45" s="10"/>
      <c r="M45" s="11"/>
      <c r="N45" s="12"/>
      <c r="O45" s="8"/>
      <c r="P45" s="6"/>
      <c r="Q45" s="6"/>
      <c r="R45" s="6"/>
      <c r="S45" s="11"/>
      <c r="T45" s="11"/>
      <c r="U45" s="10"/>
      <c r="V45" s="10"/>
    </row>
    <row r="46" spans="1:22" ht="15" customHeight="1">
      <c r="A46" s="6"/>
      <c r="B46" s="7"/>
      <c r="C46" s="6" t="str">
        <f t="shared" si="0"/>
        <v/>
      </c>
      <c r="D46" s="8"/>
      <c r="E46" s="6"/>
      <c r="F46" s="6" t="str">
        <f>IF($E46="","",IFERROR(INDEX(Ansprechpartner!$F$4:$F$80,MATCH($E46,AP_Namen,0)),""))</f>
        <v/>
      </c>
      <c r="G46" s="6" t="str">
        <f>IF($E46="","",IFERROR(INDEX(Ansprechpartner!$C$4:$C$80,MATCH($E46,AP_Namen,0)),""))</f>
        <v/>
      </c>
      <c r="H46" s="6"/>
      <c r="I46" s="6"/>
      <c r="J46" s="6"/>
      <c r="K46" s="6"/>
      <c r="L46" s="10"/>
      <c r="M46" s="11"/>
      <c r="N46" s="12"/>
      <c r="O46" s="8"/>
      <c r="P46" s="6"/>
      <c r="Q46" s="6"/>
      <c r="R46" s="6"/>
      <c r="S46" s="11"/>
      <c r="T46" s="11"/>
      <c r="U46" s="10"/>
      <c r="V46" s="10"/>
    </row>
    <row r="47" spans="1:22" ht="15" customHeight="1">
      <c r="A47" s="6"/>
      <c r="B47" s="7"/>
      <c r="C47" s="6" t="str">
        <f t="shared" si="0"/>
        <v/>
      </c>
      <c r="D47" s="8"/>
      <c r="E47" s="6"/>
      <c r="F47" s="6" t="str">
        <f>IF($E47="","",IFERROR(INDEX(Ansprechpartner!$F$4:$F$80,MATCH($E47,AP_Namen,0)),""))</f>
        <v/>
      </c>
      <c r="G47" s="6" t="str">
        <f>IF($E47="","",IFERROR(INDEX(Ansprechpartner!$C$4:$C$80,MATCH($E47,AP_Namen,0)),""))</f>
        <v/>
      </c>
      <c r="H47" s="6"/>
      <c r="I47" s="6"/>
      <c r="J47" s="6"/>
      <c r="K47" s="6"/>
      <c r="L47" s="10"/>
      <c r="M47" s="11"/>
      <c r="N47" s="12"/>
      <c r="O47" s="8"/>
      <c r="P47" s="6"/>
      <c r="Q47" s="6"/>
      <c r="R47" s="6"/>
      <c r="S47" s="11"/>
      <c r="T47" s="11"/>
      <c r="U47" s="10"/>
      <c r="V47" s="10"/>
    </row>
    <row r="48" spans="1:22" ht="15" customHeight="1">
      <c r="A48" s="6"/>
      <c r="B48" s="7"/>
      <c r="C48" s="6" t="str">
        <f t="shared" si="0"/>
        <v/>
      </c>
      <c r="D48" s="8"/>
      <c r="E48" s="6"/>
      <c r="F48" s="6" t="str">
        <f>IF($E48="","",IFERROR(INDEX(Ansprechpartner!$F$4:$F$80,MATCH($E48,AP_Namen,0)),""))</f>
        <v/>
      </c>
      <c r="G48" s="6" t="str">
        <f>IF($E48="","",IFERROR(INDEX(Ansprechpartner!$C$4:$C$80,MATCH($E48,AP_Namen,0)),""))</f>
        <v/>
      </c>
      <c r="H48" s="6"/>
      <c r="I48" s="6"/>
      <c r="J48" s="6"/>
      <c r="K48" s="6"/>
      <c r="L48" s="10"/>
      <c r="M48" s="11"/>
      <c r="N48" s="12"/>
      <c r="O48" s="8"/>
      <c r="P48" s="6"/>
      <c r="Q48" s="6"/>
      <c r="R48" s="6"/>
      <c r="S48" s="11"/>
      <c r="T48" s="11"/>
      <c r="U48" s="10"/>
      <c r="V48" s="10"/>
    </row>
    <row r="49" spans="1:22" ht="15" customHeight="1">
      <c r="A49" s="6"/>
      <c r="B49" s="7"/>
      <c r="C49" s="6" t="str">
        <f t="shared" si="0"/>
        <v/>
      </c>
      <c r="D49" s="8"/>
      <c r="E49" s="6"/>
      <c r="F49" s="6" t="str">
        <f>IF($E49="","",IFERROR(INDEX(Ansprechpartner!$F$4:$F$80,MATCH($E49,AP_Namen,0)),""))</f>
        <v/>
      </c>
      <c r="G49" s="6" t="str">
        <f>IF($E49="","",IFERROR(INDEX(Ansprechpartner!$C$4:$C$80,MATCH($E49,AP_Namen,0)),""))</f>
        <v/>
      </c>
      <c r="H49" s="6"/>
      <c r="I49" s="6"/>
      <c r="J49" s="6"/>
      <c r="K49" s="6"/>
      <c r="L49" s="10"/>
      <c r="M49" s="11"/>
      <c r="N49" s="12"/>
      <c r="O49" s="8"/>
      <c r="P49" s="6"/>
      <c r="Q49" s="6"/>
      <c r="R49" s="6"/>
      <c r="S49" s="11"/>
      <c r="T49" s="11"/>
      <c r="U49" s="10"/>
      <c r="V49" s="10"/>
    </row>
    <row r="50" spans="1:22" ht="15" customHeight="1">
      <c r="A50" s="6"/>
      <c r="B50" s="7"/>
      <c r="C50" s="6" t="str">
        <f t="shared" si="0"/>
        <v/>
      </c>
      <c r="D50" s="8"/>
      <c r="E50" s="6"/>
      <c r="F50" s="6" t="str">
        <f>IF($E50="","",IFERROR(INDEX(Ansprechpartner!$F$4:$F$80,MATCH($E50,AP_Namen,0)),""))</f>
        <v/>
      </c>
      <c r="G50" s="6" t="str">
        <f>IF($E50="","",IFERROR(INDEX(Ansprechpartner!$C$4:$C$80,MATCH($E50,AP_Namen,0)),""))</f>
        <v/>
      </c>
      <c r="H50" s="6"/>
      <c r="I50" s="6"/>
      <c r="J50" s="6"/>
      <c r="K50" s="6"/>
      <c r="L50" s="10"/>
      <c r="M50" s="11"/>
      <c r="N50" s="12"/>
      <c r="O50" s="8"/>
      <c r="P50" s="6"/>
      <c r="Q50" s="6"/>
      <c r="R50" s="6"/>
      <c r="S50" s="11"/>
      <c r="T50" s="11"/>
      <c r="U50" s="10"/>
      <c r="V50" s="10"/>
    </row>
    <row r="51" spans="1:22" ht="15" customHeight="1">
      <c r="A51" s="6"/>
      <c r="B51" s="7"/>
      <c r="C51" s="6" t="str">
        <f t="shared" si="0"/>
        <v/>
      </c>
      <c r="D51" s="8"/>
      <c r="E51" s="6"/>
      <c r="F51" s="6" t="str">
        <f>IF($E51="","",IFERROR(INDEX(Ansprechpartner!$F$4:$F$80,MATCH($E51,AP_Namen,0)),""))</f>
        <v/>
      </c>
      <c r="G51" s="6" t="str">
        <f>IF($E51="","",IFERROR(INDEX(Ansprechpartner!$C$4:$C$80,MATCH($E51,AP_Namen,0)),""))</f>
        <v/>
      </c>
      <c r="H51" s="6"/>
      <c r="I51" s="6"/>
      <c r="J51" s="6"/>
      <c r="K51" s="6"/>
      <c r="L51" s="10"/>
      <c r="M51" s="11"/>
      <c r="N51" s="12"/>
      <c r="O51" s="8"/>
      <c r="P51" s="6"/>
      <c r="Q51" s="6"/>
      <c r="R51" s="6"/>
      <c r="S51" s="11"/>
      <c r="T51" s="11"/>
      <c r="U51" s="10"/>
      <c r="V51" s="10"/>
    </row>
    <row r="52" spans="1:22" ht="15" customHeight="1">
      <c r="A52" s="6"/>
      <c r="B52" s="7"/>
      <c r="C52" s="6" t="str">
        <f t="shared" si="0"/>
        <v/>
      </c>
      <c r="D52" s="8"/>
      <c r="E52" s="6"/>
      <c r="F52" s="6" t="str">
        <f>IF($E52="","",IFERROR(INDEX(Ansprechpartner!$F$4:$F$80,MATCH($E52,AP_Namen,0)),""))</f>
        <v/>
      </c>
      <c r="G52" s="6" t="str">
        <f>IF($E52="","",IFERROR(INDEX(Ansprechpartner!$C$4:$C$80,MATCH($E52,AP_Namen,0)),""))</f>
        <v/>
      </c>
      <c r="H52" s="6"/>
      <c r="I52" s="6"/>
      <c r="J52" s="6"/>
      <c r="K52" s="6"/>
      <c r="L52" s="10"/>
      <c r="M52" s="11"/>
      <c r="N52" s="12"/>
      <c r="O52" s="8"/>
      <c r="P52" s="6"/>
      <c r="Q52" s="6"/>
      <c r="R52" s="6"/>
      <c r="S52" s="11"/>
      <c r="T52" s="11"/>
      <c r="U52" s="10"/>
      <c r="V52" s="10"/>
    </row>
    <row r="53" spans="1:22" ht="15" customHeight="1">
      <c r="A53" s="6"/>
      <c r="B53" s="7"/>
      <c r="C53" s="6" t="str">
        <f t="shared" si="0"/>
        <v/>
      </c>
      <c r="D53" s="8"/>
      <c r="E53" s="6"/>
      <c r="F53" s="6" t="str">
        <f>IF($E53="","",IFERROR(INDEX(Ansprechpartner!$F$4:$F$80,MATCH($E53,AP_Namen,0)),""))</f>
        <v/>
      </c>
      <c r="G53" s="6" t="str">
        <f>IF($E53="","",IFERROR(INDEX(Ansprechpartner!$C$4:$C$80,MATCH($E53,AP_Namen,0)),""))</f>
        <v/>
      </c>
      <c r="H53" s="6"/>
      <c r="I53" s="6"/>
      <c r="J53" s="6"/>
      <c r="K53" s="6"/>
      <c r="L53" s="10"/>
      <c r="M53" s="11"/>
      <c r="N53" s="12"/>
      <c r="O53" s="8"/>
      <c r="P53" s="6"/>
      <c r="Q53" s="6"/>
      <c r="R53" s="6"/>
      <c r="S53" s="11"/>
      <c r="T53" s="11"/>
      <c r="U53" s="10"/>
      <c r="V53" s="10"/>
    </row>
    <row r="54" spans="1:22" ht="15" customHeight="1">
      <c r="A54" s="6"/>
      <c r="B54" s="7"/>
      <c r="C54" s="6" t="str">
        <f t="shared" si="0"/>
        <v/>
      </c>
      <c r="D54" s="8"/>
      <c r="E54" s="6"/>
      <c r="F54" s="6" t="str">
        <f>IF($E54="","",IFERROR(INDEX(Ansprechpartner!$F$4:$F$80,MATCH($E54,AP_Namen,0)),""))</f>
        <v/>
      </c>
      <c r="G54" s="6" t="str">
        <f>IF($E54="","",IFERROR(INDEX(Ansprechpartner!$C$4:$C$80,MATCH($E54,AP_Namen,0)),""))</f>
        <v/>
      </c>
      <c r="H54" s="6"/>
      <c r="I54" s="6"/>
      <c r="J54" s="6"/>
      <c r="K54" s="6"/>
      <c r="L54" s="10"/>
      <c r="M54" s="11"/>
      <c r="N54" s="12"/>
      <c r="O54" s="8"/>
      <c r="P54" s="6"/>
      <c r="Q54" s="6"/>
      <c r="R54" s="6"/>
      <c r="S54" s="11"/>
      <c r="T54" s="11"/>
      <c r="U54" s="10"/>
      <c r="V54" s="10"/>
    </row>
    <row r="55" spans="1:22" ht="15" customHeight="1">
      <c r="A55" s="6"/>
      <c r="B55" s="7"/>
      <c r="C55" s="6" t="str">
        <f t="shared" si="0"/>
        <v/>
      </c>
      <c r="D55" s="8"/>
      <c r="E55" s="6"/>
      <c r="F55" s="6" t="str">
        <f>IF($E55="","",IFERROR(INDEX(Ansprechpartner!$F$4:$F$80,MATCH($E55,AP_Namen,0)),""))</f>
        <v/>
      </c>
      <c r="G55" s="6" t="str">
        <f>IF($E55="","",IFERROR(INDEX(Ansprechpartner!$C$4:$C$80,MATCH($E55,AP_Namen,0)),""))</f>
        <v/>
      </c>
      <c r="H55" s="6"/>
      <c r="I55" s="6"/>
      <c r="J55" s="6"/>
      <c r="K55" s="6"/>
      <c r="L55" s="10"/>
      <c r="M55" s="11"/>
      <c r="N55" s="12"/>
      <c r="O55" s="8"/>
      <c r="P55" s="6"/>
      <c r="Q55" s="6"/>
      <c r="R55" s="6"/>
      <c r="S55" s="11"/>
      <c r="T55" s="11"/>
      <c r="U55" s="10"/>
      <c r="V55" s="10"/>
    </row>
    <row r="56" spans="1:22" ht="15" customHeight="1">
      <c r="A56" s="6"/>
      <c r="B56" s="7"/>
      <c r="C56" s="6" t="str">
        <f t="shared" si="0"/>
        <v/>
      </c>
      <c r="D56" s="8"/>
      <c r="E56" s="6"/>
      <c r="F56" s="6" t="str">
        <f>IF($E56="","",IFERROR(INDEX(Ansprechpartner!$F$4:$F$80,MATCH($E56,AP_Namen,0)),""))</f>
        <v/>
      </c>
      <c r="G56" s="6" t="str">
        <f>IF($E56="","",IFERROR(INDEX(Ansprechpartner!$C$4:$C$80,MATCH($E56,AP_Namen,0)),""))</f>
        <v/>
      </c>
      <c r="H56" s="6"/>
      <c r="I56" s="6"/>
      <c r="J56" s="6"/>
      <c r="K56" s="6"/>
      <c r="L56" s="10"/>
      <c r="M56" s="11"/>
      <c r="N56" s="12"/>
      <c r="O56" s="8"/>
      <c r="P56" s="6"/>
      <c r="Q56" s="6"/>
      <c r="R56" s="6"/>
      <c r="S56" s="11"/>
      <c r="T56" s="11"/>
      <c r="U56" s="10"/>
      <c r="V56" s="10"/>
    </row>
    <row r="57" spans="1:22" ht="15" customHeight="1">
      <c r="A57" s="6"/>
      <c r="B57" s="7"/>
      <c r="C57" s="6" t="str">
        <f t="shared" si="0"/>
        <v/>
      </c>
      <c r="D57" s="8"/>
      <c r="E57" s="6"/>
      <c r="F57" s="6" t="str">
        <f>IF($E57="","",IFERROR(INDEX(Ansprechpartner!$F$4:$F$80,MATCH($E57,AP_Namen,0)),""))</f>
        <v/>
      </c>
      <c r="G57" s="6" t="str">
        <f>IF($E57="","",IFERROR(INDEX(Ansprechpartner!$C$4:$C$80,MATCH($E57,AP_Namen,0)),""))</f>
        <v/>
      </c>
      <c r="H57" s="6"/>
      <c r="I57" s="6"/>
      <c r="J57" s="6"/>
      <c r="K57" s="6"/>
      <c r="L57" s="10"/>
      <c r="M57" s="11"/>
      <c r="N57" s="12"/>
      <c r="O57" s="8"/>
      <c r="P57" s="6"/>
      <c r="Q57" s="6"/>
      <c r="R57" s="6"/>
      <c r="S57" s="11"/>
      <c r="T57" s="11"/>
      <c r="U57" s="10"/>
      <c r="V57" s="10"/>
    </row>
    <row r="58" spans="1:22" ht="15" customHeight="1">
      <c r="A58" s="6"/>
      <c r="B58" s="7"/>
      <c r="C58" s="6" t="str">
        <f t="shared" si="0"/>
        <v/>
      </c>
      <c r="D58" s="8"/>
      <c r="E58" s="6"/>
      <c r="F58" s="6" t="str">
        <f>IF($E58="","",IFERROR(INDEX(Ansprechpartner!$F$4:$F$80,MATCH($E58,AP_Namen,0)),""))</f>
        <v/>
      </c>
      <c r="G58" s="6" t="str">
        <f>IF($E58="","",IFERROR(INDEX(Ansprechpartner!$C$4:$C$80,MATCH($E58,AP_Namen,0)),""))</f>
        <v/>
      </c>
      <c r="H58" s="6"/>
      <c r="I58" s="6"/>
      <c r="J58" s="6"/>
      <c r="K58" s="6"/>
      <c r="L58" s="10"/>
      <c r="M58" s="11"/>
      <c r="N58" s="12"/>
      <c r="O58" s="8"/>
      <c r="P58" s="6"/>
      <c r="Q58" s="6"/>
      <c r="R58" s="6"/>
      <c r="S58" s="11"/>
      <c r="T58" s="11"/>
      <c r="U58" s="10"/>
      <c r="V58" s="10"/>
    </row>
    <row r="59" spans="1:22" ht="15" customHeight="1">
      <c r="A59" s="6"/>
      <c r="B59" s="7"/>
      <c r="C59" s="6" t="str">
        <f t="shared" si="0"/>
        <v/>
      </c>
      <c r="D59" s="8"/>
      <c r="E59" s="6"/>
      <c r="F59" s="6" t="str">
        <f>IF($E59="","",IFERROR(INDEX(Ansprechpartner!$F$4:$F$80,MATCH($E59,AP_Namen,0)),""))</f>
        <v/>
      </c>
      <c r="G59" s="6" t="str">
        <f>IF($E59="","",IFERROR(INDEX(Ansprechpartner!$C$4:$C$80,MATCH($E59,AP_Namen,0)),""))</f>
        <v/>
      </c>
      <c r="H59" s="6"/>
      <c r="I59" s="6"/>
      <c r="J59" s="6"/>
      <c r="K59" s="6"/>
      <c r="L59" s="10"/>
      <c r="M59" s="11"/>
      <c r="N59" s="12"/>
      <c r="O59" s="8"/>
      <c r="P59" s="6"/>
      <c r="Q59" s="6"/>
      <c r="R59" s="6"/>
      <c r="S59" s="11"/>
      <c r="T59" s="11"/>
      <c r="U59" s="10"/>
      <c r="V59" s="10"/>
    </row>
    <row r="60" spans="1:22" ht="15" customHeight="1">
      <c r="A60" s="6"/>
      <c r="B60" s="7"/>
      <c r="C60" s="6" t="str">
        <f t="shared" si="0"/>
        <v/>
      </c>
      <c r="D60" s="8"/>
      <c r="E60" s="6"/>
      <c r="F60" s="6" t="str">
        <f>IF($E60="","",IFERROR(INDEX(Ansprechpartner!$F$4:$F$80,MATCH($E60,AP_Namen,0)),""))</f>
        <v/>
      </c>
      <c r="G60" s="6" t="str">
        <f>IF($E60="","",IFERROR(INDEX(Ansprechpartner!$C$4:$C$80,MATCH($E60,AP_Namen,0)),""))</f>
        <v/>
      </c>
      <c r="H60" s="6"/>
      <c r="I60" s="6"/>
      <c r="J60" s="6"/>
      <c r="K60" s="6"/>
      <c r="L60" s="10"/>
      <c r="M60" s="11"/>
      <c r="N60" s="12"/>
      <c r="O60" s="8"/>
      <c r="P60" s="6"/>
      <c r="Q60" s="6"/>
      <c r="R60" s="6"/>
      <c r="S60" s="11"/>
      <c r="T60" s="11"/>
      <c r="U60" s="10"/>
      <c r="V60" s="10"/>
    </row>
    <row r="61" spans="1:22" ht="15" customHeight="1">
      <c r="C61" t="str">
        <f t="shared" si="0"/>
        <v/>
      </c>
      <c r="F61" t="str">
        <f>IF($E61="","",IFERROR(INDEX(Ansprechpartner!$F$4:$F$80,MATCH($E61,AP_Namen,0)),""))</f>
        <v/>
      </c>
      <c r="G61" t="str">
        <f>IF($E61="","",IFERROR(INDEX(Ansprechpartner!$C$4:$C$80,MATCH($E61,AP_Namen,0)),""))</f>
        <v/>
      </c>
    </row>
    <row r="62" spans="1:22" ht="15" customHeight="1">
      <c r="C62" t="str">
        <f t="shared" si="0"/>
        <v/>
      </c>
      <c r="F62" t="str">
        <f>IF($E62="","",IFERROR(INDEX(Ansprechpartner!$F$4:$F$80,MATCH($E62,AP_Namen,0)),""))</f>
        <v/>
      </c>
      <c r="G62" t="str">
        <f>IF($E62="","",IFERROR(INDEX(Ansprechpartner!$C$4:$C$80,MATCH($E62,AP_Namen,0)),""))</f>
        <v/>
      </c>
    </row>
    <row r="63" spans="1:22" ht="15" customHeight="1">
      <c r="C63" t="str">
        <f t="shared" si="0"/>
        <v/>
      </c>
      <c r="F63" t="str">
        <f>IF($E63="","",IFERROR(INDEX(Ansprechpartner!$F$4:$F$80,MATCH($E63,AP_Namen,0)),""))</f>
        <v/>
      </c>
      <c r="G63" t="str">
        <f>IF($E63="","",IFERROR(INDEX(Ansprechpartner!$C$4:$C$80,MATCH($E63,AP_Namen,0)),""))</f>
        <v/>
      </c>
    </row>
    <row r="64" spans="1:22" ht="15" customHeight="1">
      <c r="C64" t="str">
        <f t="shared" si="0"/>
        <v/>
      </c>
      <c r="F64" t="str">
        <f>IF($E64="","",IFERROR(INDEX(Ansprechpartner!$F$4:$F$80,MATCH($E64,AP_Namen,0)),""))</f>
        <v/>
      </c>
      <c r="G64" t="str">
        <f>IF($E64="","",IFERROR(INDEX(Ansprechpartner!$C$4:$C$80,MATCH($E64,AP_Namen,0)),""))</f>
        <v/>
      </c>
    </row>
    <row r="65" spans="3:7" ht="15" customHeight="1">
      <c r="C65" t="str">
        <f t="shared" si="0"/>
        <v/>
      </c>
      <c r="F65" t="str">
        <f>IF($E65="","",IFERROR(INDEX(Ansprechpartner!$F$4:$F$80,MATCH($E65,AP_Namen,0)),""))</f>
        <v/>
      </c>
      <c r="G65" t="str">
        <f>IF($E65="","",IFERROR(INDEX(Ansprechpartner!$C$4:$C$80,MATCH($E65,AP_Namen,0)),""))</f>
        <v/>
      </c>
    </row>
    <row r="66" spans="3:7" ht="15" customHeight="1">
      <c r="C66" t="str">
        <f t="shared" si="0"/>
        <v/>
      </c>
      <c r="F66" t="str">
        <f>IF($E66="","",IFERROR(INDEX(Ansprechpartner!$F$4:$F$80,MATCH($E66,AP_Namen,0)),""))</f>
        <v/>
      </c>
      <c r="G66" t="str">
        <f>IF($E66="","",IFERROR(INDEX(Ansprechpartner!$C$4:$C$80,MATCH($E66,AP_Namen,0)),""))</f>
        <v/>
      </c>
    </row>
    <row r="67" spans="3:7" ht="15" customHeight="1">
      <c r="C67" t="str">
        <f t="shared" si="0"/>
        <v/>
      </c>
      <c r="F67" t="str">
        <f>IF($E67="","",IFERROR(INDEX(Ansprechpartner!$F$4:$F$80,MATCH($E67,AP_Namen,0)),""))</f>
        <v/>
      </c>
      <c r="G67" t="str">
        <f>IF($E67="","",IFERROR(INDEX(Ansprechpartner!$C$4:$C$80,MATCH($E67,AP_Namen,0)),""))</f>
        <v/>
      </c>
    </row>
    <row r="68" spans="3:7" ht="15" customHeight="1">
      <c r="C68" t="str">
        <f t="shared" si="0"/>
        <v/>
      </c>
      <c r="F68" t="str">
        <f>IF($E68="","",IFERROR(INDEX(Ansprechpartner!$F$4:$F$80,MATCH($E68,AP_Namen,0)),""))</f>
        <v/>
      </c>
      <c r="G68" t="str">
        <f>IF($E68="","",IFERROR(INDEX(Ansprechpartner!$C$4:$C$80,MATCH($E68,AP_Namen,0)),""))</f>
        <v/>
      </c>
    </row>
    <row r="69" spans="3:7" ht="15" customHeight="1">
      <c r="C69" t="str">
        <f t="shared" ref="C69:C132" si="1">IF(B69="","",CHOOSE(WEEKDAY(B69,2),"Montag","Dienstag","Mittwoch","Donnerstag","Freitag","Samstag","Sonntag"))</f>
        <v/>
      </c>
      <c r="F69" t="str">
        <f>IF($E69="","",IFERROR(INDEX(Ansprechpartner!$F$4:$F$80,MATCH($E69,AP_Namen,0)),""))</f>
        <v/>
      </c>
      <c r="G69" t="str">
        <f>IF($E69="","",IFERROR(INDEX(Ansprechpartner!$C$4:$C$80,MATCH($E69,AP_Namen,0)),""))</f>
        <v/>
      </c>
    </row>
    <row r="70" spans="3:7" ht="15" customHeight="1">
      <c r="C70" t="str">
        <f t="shared" si="1"/>
        <v/>
      </c>
      <c r="F70" t="str">
        <f>IF($E70="","",IFERROR(INDEX(Ansprechpartner!$F$4:$F$80,MATCH($E70,AP_Namen,0)),""))</f>
        <v/>
      </c>
      <c r="G70" t="str">
        <f>IF($E70="","",IFERROR(INDEX(Ansprechpartner!$C$4:$C$80,MATCH($E70,AP_Namen,0)),""))</f>
        <v/>
      </c>
    </row>
    <row r="71" spans="3:7" ht="15" customHeight="1">
      <c r="C71" t="str">
        <f t="shared" si="1"/>
        <v/>
      </c>
      <c r="F71" t="str">
        <f>IF($E71="","",IFERROR(INDEX(Ansprechpartner!$F$4:$F$80,MATCH($E71,AP_Namen,0)),""))</f>
        <v/>
      </c>
      <c r="G71" t="str">
        <f>IF($E71="","",IFERROR(INDEX(Ansprechpartner!$C$4:$C$80,MATCH($E71,AP_Namen,0)),""))</f>
        <v/>
      </c>
    </row>
    <row r="72" spans="3:7" ht="15" customHeight="1">
      <c r="C72" t="str">
        <f t="shared" si="1"/>
        <v/>
      </c>
      <c r="F72" t="str">
        <f>IF($E72="","",IFERROR(INDEX(Ansprechpartner!$F$4:$F$80,MATCH($E72,AP_Namen,0)),""))</f>
        <v/>
      </c>
      <c r="G72" t="str">
        <f>IF($E72="","",IFERROR(INDEX(Ansprechpartner!$C$4:$C$80,MATCH($E72,AP_Namen,0)),""))</f>
        <v/>
      </c>
    </row>
    <row r="73" spans="3:7" ht="15" customHeight="1">
      <c r="C73" t="str">
        <f t="shared" si="1"/>
        <v/>
      </c>
      <c r="F73" t="str">
        <f>IF($E73="","",IFERROR(INDEX(Ansprechpartner!$F$4:$F$80,MATCH($E73,AP_Namen,0)),""))</f>
        <v/>
      </c>
      <c r="G73" t="str">
        <f>IF($E73="","",IFERROR(INDEX(Ansprechpartner!$C$4:$C$80,MATCH($E73,AP_Namen,0)),""))</f>
        <v/>
      </c>
    </row>
    <row r="74" spans="3:7" ht="15" customHeight="1">
      <c r="C74" t="str">
        <f t="shared" si="1"/>
        <v/>
      </c>
      <c r="F74" t="str">
        <f>IF($E74="","",IFERROR(INDEX(Ansprechpartner!$F$4:$F$80,MATCH($E74,AP_Namen,0)),""))</f>
        <v/>
      </c>
      <c r="G74" t="str">
        <f>IF($E74="","",IFERROR(INDEX(Ansprechpartner!$C$4:$C$80,MATCH($E74,AP_Namen,0)),""))</f>
        <v/>
      </c>
    </row>
    <row r="75" spans="3:7" ht="15" customHeight="1">
      <c r="C75" t="str">
        <f t="shared" si="1"/>
        <v/>
      </c>
      <c r="F75" t="str">
        <f>IF($E75="","",IFERROR(INDEX(Ansprechpartner!$F$4:$F$80,MATCH($E75,AP_Namen,0)),""))</f>
        <v/>
      </c>
      <c r="G75" t="str">
        <f>IF($E75="","",IFERROR(INDEX(Ansprechpartner!$C$4:$C$80,MATCH($E75,AP_Namen,0)),""))</f>
        <v/>
      </c>
    </row>
    <row r="76" spans="3:7" ht="15" customHeight="1">
      <c r="C76" t="str">
        <f t="shared" si="1"/>
        <v/>
      </c>
      <c r="F76" t="str">
        <f>IF($E76="","",IFERROR(INDEX(Ansprechpartner!$F$4:$F$80,MATCH($E76,AP_Namen,0)),""))</f>
        <v/>
      </c>
      <c r="G76" t="str">
        <f>IF($E76="","",IFERROR(INDEX(Ansprechpartner!$C$4:$C$80,MATCH($E76,AP_Namen,0)),""))</f>
        <v/>
      </c>
    </row>
    <row r="77" spans="3:7" ht="15" customHeight="1">
      <c r="C77" t="str">
        <f t="shared" si="1"/>
        <v/>
      </c>
      <c r="F77" t="str">
        <f>IF($E77="","",IFERROR(INDEX(Ansprechpartner!$F$4:$F$80,MATCH($E77,AP_Namen,0)),""))</f>
        <v/>
      </c>
      <c r="G77" t="str">
        <f>IF($E77="","",IFERROR(INDEX(Ansprechpartner!$C$4:$C$80,MATCH($E77,AP_Namen,0)),""))</f>
        <v/>
      </c>
    </row>
    <row r="78" spans="3:7" ht="15" customHeight="1">
      <c r="C78" t="str">
        <f t="shared" si="1"/>
        <v/>
      </c>
      <c r="F78" t="str">
        <f>IF($E78="","",IFERROR(INDEX(Ansprechpartner!$F$4:$F$80,MATCH($E78,AP_Namen,0)),""))</f>
        <v/>
      </c>
      <c r="G78" t="str">
        <f>IF($E78="","",IFERROR(INDEX(Ansprechpartner!$C$4:$C$80,MATCH($E78,AP_Namen,0)),""))</f>
        <v/>
      </c>
    </row>
    <row r="79" spans="3:7" ht="15" customHeight="1">
      <c r="C79" t="str">
        <f t="shared" si="1"/>
        <v/>
      </c>
      <c r="F79" t="str">
        <f>IF($E79="","",IFERROR(INDEX(Ansprechpartner!$F$4:$F$80,MATCH($E79,AP_Namen,0)),""))</f>
        <v/>
      </c>
      <c r="G79" t="str">
        <f>IF($E79="","",IFERROR(INDEX(Ansprechpartner!$C$4:$C$80,MATCH($E79,AP_Namen,0)),""))</f>
        <v/>
      </c>
    </row>
    <row r="80" spans="3:7" ht="15" customHeight="1">
      <c r="C80" t="str">
        <f t="shared" si="1"/>
        <v/>
      </c>
      <c r="F80" t="str">
        <f>IF($E80="","",IFERROR(INDEX(Ansprechpartner!$F$4:$F$80,MATCH($E80,AP_Namen,0)),""))</f>
        <v/>
      </c>
      <c r="G80" t="str">
        <f>IF($E80="","",IFERROR(INDEX(Ansprechpartner!$C$4:$C$80,MATCH($E80,AP_Namen,0)),""))</f>
        <v/>
      </c>
    </row>
    <row r="81" spans="3:7" ht="15" customHeight="1">
      <c r="C81" t="str">
        <f t="shared" si="1"/>
        <v/>
      </c>
      <c r="F81" t="str">
        <f>IF($E81="","",IFERROR(INDEX(Ansprechpartner!$F$4:$F$80,MATCH($E81,AP_Namen,0)),""))</f>
        <v/>
      </c>
      <c r="G81" t="str">
        <f>IF($E81="","",IFERROR(INDEX(Ansprechpartner!$C$4:$C$80,MATCH($E81,AP_Namen,0)),""))</f>
        <v/>
      </c>
    </row>
    <row r="82" spans="3:7" ht="15" customHeight="1">
      <c r="C82" t="str">
        <f t="shared" si="1"/>
        <v/>
      </c>
      <c r="F82" t="str">
        <f>IF($E82="","",IFERROR(INDEX(Ansprechpartner!$F$4:$F$80,MATCH($E82,AP_Namen,0)),""))</f>
        <v/>
      </c>
      <c r="G82" t="str">
        <f>IF($E82="","",IFERROR(INDEX(Ansprechpartner!$C$4:$C$80,MATCH($E82,AP_Namen,0)),""))</f>
        <v/>
      </c>
    </row>
    <row r="83" spans="3:7" ht="15" customHeight="1">
      <c r="C83" t="str">
        <f t="shared" si="1"/>
        <v/>
      </c>
      <c r="F83" t="str">
        <f>IF($E83="","",IFERROR(INDEX(Ansprechpartner!$F$4:$F$80,MATCH($E83,AP_Namen,0)),""))</f>
        <v/>
      </c>
      <c r="G83" t="str">
        <f>IF($E83="","",IFERROR(INDEX(Ansprechpartner!$C$4:$C$80,MATCH($E83,AP_Namen,0)),""))</f>
        <v/>
      </c>
    </row>
    <row r="84" spans="3:7" ht="15" customHeight="1">
      <c r="C84" t="str">
        <f t="shared" si="1"/>
        <v/>
      </c>
      <c r="F84" t="str">
        <f>IF($E84="","",IFERROR(INDEX(Ansprechpartner!$F$4:$F$80,MATCH($E84,AP_Namen,0)),""))</f>
        <v/>
      </c>
      <c r="G84" t="str">
        <f>IF($E84="","",IFERROR(INDEX(Ansprechpartner!$C$4:$C$80,MATCH($E84,AP_Namen,0)),""))</f>
        <v/>
      </c>
    </row>
    <row r="85" spans="3:7" ht="15" customHeight="1">
      <c r="C85" t="str">
        <f t="shared" si="1"/>
        <v/>
      </c>
      <c r="F85" t="str">
        <f>IF($E85="","",IFERROR(INDEX(Ansprechpartner!$F$4:$F$80,MATCH($E85,AP_Namen,0)),""))</f>
        <v/>
      </c>
      <c r="G85" t="str">
        <f>IF($E85="","",IFERROR(INDEX(Ansprechpartner!$C$4:$C$80,MATCH($E85,AP_Namen,0)),""))</f>
        <v/>
      </c>
    </row>
    <row r="86" spans="3:7" ht="15" customHeight="1">
      <c r="C86" t="str">
        <f t="shared" si="1"/>
        <v/>
      </c>
      <c r="F86" t="str">
        <f>IF($E86="","",IFERROR(INDEX(Ansprechpartner!$F$4:$F$80,MATCH($E86,AP_Namen,0)),""))</f>
        <v/>
      </c>
      <c r="G86" t="str">
        <f>IF($E86="","",IFERROR(INDEX(Ansprechpartner!$C$4:$C$80,MATCH($E86,AP_Namen,0)),""))</f>
        <v/>
      </c>
    </row>
    <row r="87" spans="3:7" ht="15" customHeight="1">
      <c r="C87" t="str">
        <f t="shared" si="1"/>
        <v/>
      </c>
      <c r="F87" t="str">
        <f>IF($E87="","",IFERROR(INDEX(Ansprechpartner!$F$4:$F$80,MATCH($E87,AP_Namen,0)),""))</f>
        <v/>
      </c>
      <c r="G87" t="str">
        <f>IF($E87="","",IFERROR(INDEX(Ansprechpartner!$C$4:$C$80,MATCH($E87,AP_Namen,0)),""))</f>
        <v/>
      </c>
    </row>
    <row r="88" spans="3:7" ht="15" customHeight="1">
      <c r="C88" t="str">
        <f t="shared" si="1"/>
        <v/>
      </c>
      <c r="F88" t="str">
        <f>IF($E88="","",IFERROR(INDEX(Ansprechpartner!$F$4:$F$80,MATCH($E88,AP_Namen,0)),""))</f>
        <v/>
      </c>
      <c r="G88" t="str">
        <f>IF($E88="","",IFERROR(INDEX(Ansprechpartner!$C$4:$C$80,MATCH($E88,AP_Namen,0)),""))</f>
        <v/>
      </c>
    </row>
    <row r="89" spans="3:7" ht="15" customHeight="1">
      <c r="C89" t="str">
        <f t="shared" si="1"/>
        <v/>
      </c>
      <c r="F89" t="str">
        <f>IF($E89="","",IFERROR(INDEX(Ansprechpartner!$F$4:$F$80,MATCH($E89,AP_Namen,0)),""))</f>
        <v/>
      </c>
      <c r="G89" t="str">
        <f>IF($E89="","",IFERROR(INDEX(Ansprechpartner!$C$4:$C$80,MATCH($E89,AP_Namen,0)),""))</f>
        <v/>
      </c>
    </row>
    <row r="90" spans="3:7" ht="15" customHeight="1">
      <c r="C90" t="str">
        <f t="shared" si="1"/>
        <v/>
      </c>
      <c r="F90" t="str">
        <f>IF($E90="","",IFERROR(INDEX(Ansprechpartner!$F$4:$F$80,MATCH($E90,AP_Namen,0)),""))</f>
        <v/>
      </c>
      <c r="G90" t="str">
        <f>IF($E90="","",IFERROR(INDEX(Ansprechpartner!$C$4:$C$80,MATCH($E90,AP_Namen,0)),""))</f>
        <v/>
      </c>
    </row>
    <row r="91" spans="3:7" ht="15" customHeight="1">
      <c r="C91" t="str">
        <f t="shared" si="1"/>
        <v/>
      </c>
      <c r="F91" t="str">
        <f>IF($E91="","",IFERROR(INDEX(Ansprechpartner!$F$4:$F$80,MATCH($E91,AP_Namen,0)),""))</f>
        <v/>
      </c>
      <c r="G91" t="str">
        <f>IF($E91="","",IFERROR(INDEX(Ansprechpartner!$C$4:$C$80,MATCH($E91,AP_Namen,0)),""))</f>
        <v/>
      </c>
    </row>
    <row r="92" spans="3:7" ht="15" customHeight="1">
      <c r="C92" t="str">
        <f t="shared" si="1"/>
        <v/>
      </c>
      <c r="F92" t="str">
        <f>IF($E92="","",IFERROR(INDEX(Ansprechpartner!$F$4:$F$80,MATCH($E92,AP_Namen,0)),""))</f>
        <v/>
      </c>
      <c r="G92" t="str">
        <f>IF($E92="","",IFERROR(INDEX(Ansprechpartner!$C$4:$C$80,MATCH($E92,AP_Namen,0)),""))</f>
        <v/>
      </c>
    </row>
    <row r="93" spans="3:7" ht="15" customHeight="1">
      <c r="C93" t="str">
        <f t="shared" si="1"/>
        <v/>
      </c>
      <c r="F93" t="str">
        <f>IF($E93="","",IFERROR(INDEX(Ansprechpartner!$F$4:$F$80,MATCH($E93,AP_Namen,0)),""))</f>
        <v/>
      </c>
      <c r="G93" t="str">
        <f>IF($E93="","",IFERROR(INDEX(Ansprechpartner!$C$4:$C$80,MATCH($E93,AP_Namen,0)),""))</f>
        <v/>
      </c>
    </row>
    <row r="94" spans="3:7" ht="15" customHeight="1">
      <c r="C94" t="str">
        <f t="shared" si="1"/>
        <v/>
      </c>
      <c r="F94" t="str">
        <f>IF($E94="","",IFERROR(INDEX(Ansprechpartner!$F$4:$F$80,MATCH($E94,AP_Namen,0)),""))</f>
        <v/>
      </c>
      <c r="G94" t="str">
        <f>IF($E94="","",IFERROR(INDEX(Ansprechpartner!$C$4:$C$80,MATCH($E94,AP_Namen,0)),""))</f>
        <v/>
      </c>
    </row>
    <row r="95" spans="3:7" ht="15" customHeight="1">
      <c r="C95" t="str">
        <f t="shared" si="1"/>
        <v/>
      </c>
      <c r="F95" t="str">
        <f>IF($E95="","",IFERROR(INDEX(Ansprechpartner!$F$4:$F$80,MATCH($E95,AP_Namen,0)),""))</f>
        <v/>
      </c>
      <c r="G95" t="str">
        <f>IF($E95="","",IFERROR(INDEX(Ansprechpartner!$C$4:$C$80,MATCH($E95,AP_Namen,0)),""))</f>
        <v/>
      </c>
    </row>
    <row r="96" spans="3:7" ht="15" customHeight="1">
      <c r="C96" t="str">
        <f t="shared" si="1"/>
        <v/>
      </c>
      <c r="F96" t="str">
        <f>IF($E96="","",IFERROR(INDEX(Ansprechpartner!$F$4:$F$80,MATCH($E96,AP_Namen,0)),""))</f>
        <v/>
      </c>
      <c r="G96" t="str">
        <f>IF($E96="","",IFERROR(INDEX(Ansprechpartner!$C$4:$C$80,MATCH($E96,AP_Namen,0)),""))</f>
        <v/>
      </c>
    </row>
    <row r="97" spans="3:7" ht="15" customHeight="1">
      <c r="C97" t="str">
        <f t="shared" si="1"/>
        <v/>
      </c>
      <c r="F97" t="str">
        <f>IF($E97="","",IFERROR(INDEX(Ansprechpartner!$F$4:$F$80,MATCH($E97,AP_Namen,0)),""))</f>
        <v/>
      </c>
      <c r="G97" t="str">
        <f>IF($E97="","",IFERROR(INDEX(Ansprechpartner!$C$4:$C$80,MATCH($E97,AP_Namen,0)),""))</f>
        <v/>
      </c>
    </row>
    <row r="98" spans="3:7" ht="15" customHeight="1">
      <c r="C98" t="str">
        <f t="shared" si="1"/>
        <v/>
      </c>
      <c r="F98" t="str">
        <f>IF($E98="","",IFERROR(INDEX(Ansprechpartner!$F$4:$F$80,MATCH($E98,AP_Namen,0)),""))</f>
        <v/>
      </c>
      <c r="G98" t="str">
        <f>IF($E98="","",IFERROR(INDEX(Ansprechpartner!$C$4:$C$80,MATCH($E98,AP_Namen,0)),""))</f>
        <v/>
      </c>
    </row>
    <row r="99" spans="3:7" ht="15" customHeight="1">
      <c r="C99" t="str">
        <f t="shared" si="1"/>
        <v/>
      </c>
      <c r="F99" t="str">
        <f>IF($E99="","",IFERROR(INDEX(Ansprechpartner!$F$4:$F$80,MATCH($E99,AP_Namen,0)),""))</f>
        <v/>
      </c>
      <c r="G99" t="str">
        <f>IF($E99="","",IFERROR(INDEX(Ansprechpartner!$C$4:$C$80,MATCH($E99,AP_Namen,0)),""))</f>
        <v/>
      </c>
    </row>
    <row r="100" spans="3:7" ht="15" customHeight="1">
      <c r="C100" t="str">
        <f t="shared" si="1"/>
        <v/>
      </c>
      <c r="F100" t="str">
        <f>IF($E100="","",IFERROR(INDEX(Ansprechpartner!$F$4:$F$80,MATCH($E100,AP_Namen,0)),""))</f>
        <v/>
      </c>
      <c r="G100" t="str">
        <f>IF($E100="","",IFERROR(INDEX(Ansprechpartner!$C$4:$C$80,MATCH($E100,AP_Namen,0)),""))</f>
        <v/>
      </c>
    </row>
    <row r="101" spans="3:7" ht="15" customHeight="1">
      <c r="C101" t="str">
        <f t="shared" si="1"/>
        <v/>
      </c>
      <c r="F101" t="str">
        <f>IF($E101="","",IFERROR(INDEX(Ansprechpartner!$F$4:$F$80,MATCH($E101,AP_Namen,0)),""))</f>
        <v/>
      </c>
      <c r="G101" t="str">
        <f>IF($E101="","",IFERROR(INDEX(Ansprechpartner!$C$4:$C$80,MATCH($E101,AP_Namen,0)),""))</f>
        <v/>
      </c>
    </row>
    <row r="102" spans="3:7" ht="15" customHeight="1">
      <c r="C102" t="str">
        <f t="shared" si="1"/>
        <v/>
      </c>
      <c r="F102" t="str">
        <f>IF($E102="","",IFERROR(INDEX(Ansprechpartner!$F$4:$F$80,MATCH($E102,AP_Namen,0)),""))</f>
        <v/>
      </c>
      <c r="G102" t="str">
        <f>IF($E102="","",IFERROR(INDEX(Ansprechpartner!$C$4:$C$80,MATCH($E102,AP_Namen,0)),""))</f>
        <v/>
      </c>
    </row>
    <row r="103" spans="3:7" ht="15" customHeight="1">
      <c r="C103" t="str">
        <f t="shared" si="1"/>
        <v/>
      </c>
      <c r="F103" t="str">
        <f>IF($E103="","",IFERROR(INDEX(Ansprechpartner!$F$4:$F$80,MATCH($E103,AP_Namen,0)),""))</f>
        <v/>
      </c>
      <c r="G103" t="str">
        <f>IF($E103="","",IFERROR(INDEX(Ansprechpartner!$C$4:$C$80,MATCH($E103,AP_Namen,0)),""))</f>
        <v/>
      </c>
    </row>
    <row r="104" spans="3:7" ht="15" customHeight="1">
      <c r="C104" t="str">
        <f t="shared" si="1"/>
        <v/>
      </c>
      <c r="F104" t="str">
        <f>IF($E104="","",IFERROR(INDEX(Ansprechpartner!$F$4:$F$80,MATCH($E104,AP_Namen,0)),""))</f>
        <v/>
      </c>
      <c r="G104" t="str">
        <f>IF($E104="","",IFERROR(INDEX(Ansprechpartner!$C$4:$C$80,MATCH($E104,AP_Namen,0)),""))</f>
        <v/>
      </c>
    </row>
    <row r="105" spans="3:7" ht="15" customHeight="1">
      <c r="C105" t="str">
        <f t="shared" si="1"/>
        <v/>
      </c>
      <c r="F105" t="str">
        <f>IF($E105="","",IFERROR(INDEX(Ansprechpartner!$F$4:$F$80,MATCH($E105,AP_Namen,0)),""))</f>
        <v/>
      </c>
      <c r="G105" t="str">
        <f>IF($E105="","",IFERROR(INDEX(Ansprechpartner!$C$4:$C$80,MATCH($E105,AP_Namen,0)),""))</f>
        <v/>
      </c>
    </row>
    <row r="106" spans="3:7" ht="15" customHeight="1">
      <c r="C106" t="str">
        <f t="shared" si="1"/>
        <v/>
      </c>
      <c r="F106" t="str">
        <f>IF($E106="","",IFERROR(INDEX(Ansprechpartner!$F$4:$F$80,MATCH($E106,AP_Namen,0)),""))</f>
        <v/>
      </c>
      <c r="G106" t="str">
        <f>IF($E106="","",IFERROR(INDEX(Ansprechpartner!$C$4:$C$80,MATCH($E106,AP_Namen,0)),""))</f>
        <v/>
      </c>
    </row>
    <row r="107" spans="3:7" ht="15" customHeight="1">
      <c r="C107" t="str">
        <f t="shared" si="1"/>
        <v/>
      </c>
      <c r="F107" t="str">
        <f>IF($E107="","",IFERROR(INDEX(Ansprechpartner!$F$4:$F$80,MATCH($E107,AP_Namen,0)),""))</f>
        <v/>
      </c>
      <c r="G107" t="str">
        <f>IF($E107="","",IFERROR(INDEX(Ansprechpartner!$C$4:$C$80,MATCH($E107,AP_Namen,0)),""))</f>
        <v/>
      </c>
    </row>
    <row r="108" spans="3:7" ht="15" customHeight="1">
      <c r="C108" t="str">
        <f t="shared" si="1"/>
        <v/>
      </c>
      <c r="F108" t="str">
        <f>IF($E108="","",IFERROR(INDEX(Ansprechpartner!$F$4:$F$80,MATCH($E108,AP_Namen,0)),""))</f>
        <v/>
      </c>
      <c r="G108" t="str">
        <f>IF($E108="","",IFERROR(INDEX(Ansprechpartner!$C$4:$C$80,MATCH($E108,AP_Namen,0)),""))</f>
        <v/>
      </c>
    </row>
    <row r="109" spans="3:7" ht="15" customHeight="1">
      <c r="C109" t="str">
        <f t="shared" si="1"/>
        <v/>
      </c>
      <c r="F109" t="str">
        <f>IF($E109="","",IFERROR(INDEX(Ansprechpartner!$F$4:$F$80,MATCH($E109,AP_Namen,0)),""))</f>
        <v/>
      </c>
      <c r="G109" t="str">
        <f>IF($E109="","",IFERROR(INDEX(Ansprechpartner!$C$4:$C$80,MATCH($E109,AP_Namen,0)),""))</f>
        <v/>
      </c>
    </row>
    <row r="110" spans="3:7" ht="15" customHeight="1">
      <c r="C110" t="str">
        <f t="shared" si="1"/>
        <v/>
      </c>
      <c r="F110" t="str">
        <f>IF($E110="","",IFERROR(INDEX(Ansprechpartner!$F$4:$F$80,MATCH($E110,AP_Namen,0)),""))</f>
        <v/>
      </c>
      <c r="G110" t="str">
        <f>IF($E110="","",IFERROR(INDEX(Ansprechpartner!$C$4:$C$80,MATCH($E110,AP_Namen,0)),""))</f>
        <v/>
      </c>
    </row>
    <row r="111" spans="3:7" ht="15" customHeight="1">
      <c r="C111" t="str">
        <f t="shared" si="1"/>
        <v/>
      </c>
      <c r="F111" t="str">
        <f>IF($E111="","",IFERROR(INDEX(Ansprechpartner!$F$4:$F$80,MATCH($E111,AP_Namen,0)),""))</f>
        <v/>
      </c>
      <c r="G111" t="str">
        <f>IF($E111="","",IFERROR(INDEX(Ansprechpartner!$C$4:$C$80,MATCH($E111,AP_Namen,0)),""))</f>
        <v/>
      </c>
    </row>
    <row r="112" spans="3:7" ht="15" customHeight="1">
      <c r="C112" t="str">
        <f t="shared" si="1"/>
        <v/>
      </c>
      <c r="F112" t="str">
        <f>IF($E112="","",IFERROR(INDEX(Ansprechpartner!$F$4:$F$80,MATCH($E112,AP_Namen,0)),""))</f>
        <v/>
      </c>
      <c r="G112" t="str">
        <f>IF($E112="","",IFERROR(INDEX(Ansprechpartner!$C$4:$C$80,MATCH($E112,AP_Namen,0)),""))</f>
        <v/>
      </c>
    </row>
    <row r="113" spans="3:7" ht="15" customHeight="1">
      <c r="C113" t="str">
        <f t="shared" si="1"/>
        <v/>
      </c>
      <c r="F113" t="str">
        <f>IF($E113="","",IFERROR(INDEX(Ansprechpartner!$F$4:$F$80,MATCH($E113,AP_Namen,0)),""))</f>
        <v/>
      </c>
      <c r="G113" t="str">
        <f>IF($E113="","",IFERROR(INDEX(Ansprechpartner!$C$4:$C$80,MATCH($E113,AP_Namen,0)),""))</f>
        <v/>
      </c>
    </row>
    <row r="114" spans="3:7" ht="15" customHeight="1">
      <c r="C114" t="str">
        <f t="shared" si="1"/>
        <v/>
      </c>
      <c r="F114" t="str">
        <f>IF($E114="","",IFERROR(INDEX(Ansprechpartner!$F$4:$F$80,MATCH($E114,AP_Namen,0)),""))</f>
        <v/>
      </c>
      <c r="G114" t="str">
        <f>IF($E114="","",IFERROR(INDEX(Ansprechpartner!$C$4:$C$80,MATCH($E114,AP_Namen,0)),""))</f>
        <v/>
      </c>
    </row>
    <row r="115" spans="3:7" ht="15" customHeight="1">
      <c r="C115" t="str">
        <f t="shared" si="1"/>
        <v/>
      </c>
      <c r="F115" t="str">
        <f>IF($E115="","",IFERROR(INDEX(Ansprechpartner!$F$4:$F$80,MATCH($E115,AP_Namen,0)),""))</f>
        <v/>
      </c>
      <c r="G115" t="str">
        <f>IF($E115="","",IFERROR(INDEX(Ansprechpartner!$C$4:$C$80,MATCH($E115,AP_Namen,0)),""))</f>
        <v/>
      </c>
    </row>
    <row r="116" spans="3:7" ht="15" customHeight="1">
      <c r="C116" t="str">
        <f t="shared" si="1"/>
        <v/>
      </c>
      <c r="F116" t="str">
        <f>IF($E116="","",IFERROR(INDEX(Ansprechpartner!$F$4:$F$80,MATCH($E116,AP_Namen,0)),""))</f>
        <v/>
      </c>
      <c r="G116" t="str">
        <f>IF($E116="","",IFERROR(INDEX(Ansprechpartner!$C$4:$C$80,MATCH($E116,AP_Namen,0)),""))</f>
        <v/>
      </c>
    </row>
    <row r="117" spans="3:7" ht="15" customHeight="1">
      <c r="C117" t="str">
        <f t="shared" si="1"/>
        <v/>
      </c>
      <c r="F117" t="str">
        <f>IF($E117="","",IFERROR(INDEX(Ansprechpartner!$F$4:$F$80,MATCH($E117,AP_Namen,0)),""))</f>
        <v/>
      </c>
      <c r="G117" t="str">
        <f>IF($E117="","",IFERROR(INDEX(Ansprechpartner!$C$4:$C$80,MATCH($E117,AP_Namen,0)),""))</f>
        <v/>
      </c>
    </row>
    <row r="118" spans="3:7" ht="15" customHeight="1">
      <c r="C118" t="str">
        <f t="shared" si="1"/>
        <v/>
      </c>
      <c r="F118" t="str">
        <f>IF($E118="","",IFERROR(INDEX(Ansprechpartner!$F$4:$F$80,MATCH($E118,AP_Namen,0)),""))</f>
        <v/>
      </c>
      <c r="G118" t="str">
        <f>IF($E118="","",IFERROR(INDEX(Ansprechpartner!$C$4:$C$80,MATCH($E118,AP_Namen,0)),""))</f>
        <v/>
      </c>
    </row>
    <row r="119" spans="3:7" ht="15" customHeight="1">
      <c r="C119" t="str">
        <f t="shared" si="1"/>
        <v/>
      </c>
      <c r="F119" t="str">
        <f>IF($E119="","",IFERROR(INDEX(Ansprechpartner!$F$4:$F$80,MATCH($E119,AP_Namen,0)),""))</f>
        <v/>
      </c>
      <c r="G119" t="str">
        <f>IF($E119="","",IFERROR(INDEX(Ansprechpartner!$C$4:$C$80,MATCH($E119,AP_Namen,0)),""))</f>
        <v/>
      </c>
    </row>
    <row r="120" spans="3:7" ht="15" customHeight="1">
      <c r="C120" t="str">
        <f t="shared" si="1"/>
        <v/>
      </c>
      <c r="F120" t="str">
        <f>IF($E120="","",IFERROR(INDEX(Ansprechpartner!$F$4:$F$80,MATCH($E120,AP_Namen,0)),""))</f>
        <v/>
      </c>
      <c r="G120" t="str">
        <f>IF($E120="","",IFERROR(INDEX(Ansprechpartner!$C$4:$C$80,MATCH($E120,AP_Namen,0)),""))</f>
        <v/>
      </c>
    </row>
    <row r="121" spans="3:7" ht="15" customHeight="1">
      <c r="C121" t="str">
        <f t="shared" si="1"/>
        <v/>
      </c>
      <c r="F121" t="str">
        <f>IF($E121="","",IFERROR(INDEX(Ansprechpartner!$F$4:$F$80,MATCH($E121,AP_Namen,0)),""))</f>
        <v/>
      </c>
      <c r="G121" t="str">
        <f>IF($E121="","",IFERROR(INDEX(Ansprechpartner!$C$4:$C$80,MATCH($E121,AP_Namen,0)),""))</f>
        <v/>
      </c>
    </row>
    <row r="122" spans="3:7" ht="15" customHeight="1">
      <c r="C122" t="str">
        <f t="shared" si="1"/>
        <v/>
      </c>
      <c r="F122" t="str">
        <f>IF($E122="","",IFERROR(INDEX(Ansprechpartner!$F$4:$F$80,MATCH($E122,AP_Namen,0)),""))</f>
        <v/>
      </c>
      <c r="G122" t="str">
        <f>IF($E122="","",IFERROR(INDEX(Ansprechpartner!$C$4:$C$80,MATCH($E122,AP_Namen,0)),""))</f>
        <v/>
      </c>
    </row>
    <row r="123" spans="3:7" ht="15" customHeight="1">
      <c r="C123" t="str">
        <f t="shared" si="1"/>
        <v/>
      </c>
      <c r="F123" t="str">
        <f>IF($E123="","",IFERROR(INDEX(Ansprechpartner!$F$4:$F$80,MATCH($E123,AP_Namen,0)),""))</f>
        <v/>
      </c>
      <c r="G123" t="str">
        <f>IF($E123="","",IFERROR(INDEX(Ansprechpartner!$C$4:$C$80,MATCH($E123,AP_Namen,0)),""))</f>
        <v/>
      </c>
    </row>
    <row r="124" spans="3:7" ht="15" customHeight="1">
      <c r="C124" t="str">
        <f t="shared" si="1"/>
        <v/>
      </c>
      <c r="F124" t="str">
        <f>IF($E124="","",IFERROR(INDEX(Ansprechpartner!$F$4:$F$80,MATCH($E124,AP_Namen,0)),""))</f>
        <v/>
      </c>
      <c r="G124" t="str">
        <f>IF($E124="","",IFERROR(INDEX(Ansprechpartner!$C$4:$C$80,MATCH($E124,AP_Namen,0)),""))</f>
        <v/>
      </c>
    </row>
    <row r="125" spans="3:7" ht="15" customHeight="1">
      <c r="C125" t="str">
        <f t="shared" si="1"/>
        <v/>
      </c>
      <c r="F125" t="str">
        <f>IF($E125="","",IFERROR(INDEX(Ansprechpartner!$F$4:$F$80,MATCH($E125,AP_Namen,0)),""))</f>
        <v/>
      </c>
      <c r="G125" t="str">
        <f>IF($E125="","",IFERROR(INDEX(Ansprechpartner!$C$4:$C$80,MATCH($E125,AP_Namen,0)),""))</f>
        <v/>
      </c>
    </row>
    <row r="126" spans="3:7" ht="15" customHeight="1">
      <c r="C126" t="str">
        <f t="shared" si="1"/>
        <v/>
      </c>
      <c r="F126" t="str">
        <f>IF($E126="","",IFERROR(INDEX(Ansprechpartner!$F$4:$F$80,MATCH($E126,AP_Namen,0)),""))</f>
        <v/>
      </c>
      <c r="G126" t="str">
        <f>IF($E126="","",IFERROR(INDEX(Ansprechpartner!$C$4:$C$80,MATCH($E126,AP_Namen,0)),""))</f>
        <v/>
      </c>
    </row>
    <row r="127" spans="3:7" ht="15" customHeight="1">
      <c r="C127" t="str">
        <f t="shared" si="1"/>
        <v/>
      </c>
      <c r="F127" t="str">
        <f>IF($E127="","",IFERROR(INDEX(Ansprechpartner!$F$4:$F$80,MATCH($E127,AP_Namen,0)),""))</f>
        <v/>
      </c>
      <c r="G127" t="str">
        <f>IF($E127="","",IFERROR(INDEX(Ansprechpartner!$C$4:$C$80,MATCH($E127,AP_Namen,0)),""))</f>
        <v/>
      </c>
    </row>
    <row r="128" spans="3:7" ht="15" customHeight="1">
      <c r="C128" t="str">
        <f t="shared" si="1"/>
        <v/>
      </c>
      <c r="F128" t="str">
        <f>IF($E128="","",IFERROR(INDEX(Ansprechpartner!$F$4:$F$80,MATCH($E128,AP_Namen,0)),""))</f>
        <v/>
      </c>
      <c r="G128" t="str">
        <f>IF($E128="","",IFERROR(INDEX(Ansprechpartner!$C$4:$C$80,MATCH($E128,AP_Namen,0)),""))</f>
        <v/>
      </c>
    </row>
    <row r="129" spans="3:7" ht="15" customHeight="1">
      <c r="C129" t="str">
        <f t="shared" si="1"/>
        <v/>
      </c>
      <c r="F129" t="str">
        <f>IF($E129="","",IFERROR(INDEX(Ansprechpartner!$F$4:$F$80,MATCH($E129,AP_Namen,0)),""))</f>
        <v/>
      </c>
      <c r="G129" t="str">
        <f>IF($E129="","",IFERROR(INDEX(Ansprechpartner!$C$4:$C$80,MATCH($E129,AP_Namen,0)),""))</f>
        <v/>
      </c>
    </row>
    <row r="130" spans="3:7" ht="15" customHeight="1">
      <c r="C130" t="str">
        <f t="shared" si="1"/>
        <v/>
      </c>
      <c r="F130" t="str">
        <f>IF($E130="","",IFERROR(INDEX(Ansprechpartner!$F$4:$F$80,MATCH($E130,AP_Namen,0)),""))</f>
        <v/>
      </c>
      <c r="G130" t="str">
        <f>IF($E130="","",IFERROR(INDEX(Ansprechpartner!$C$4:$C$80,MATCH($E130,AP_Namen,0)),""))</f>
        <v/>
      </c>
    </row>
    <row r="131" spans="3:7" ht="15" customHeight="1">
      <c r="C131" t="str">
        <f t="shared" si="1"/>
        <v/>
      </c>
      <c r="F131" t="str">
        <f>IF($E131="","",IFERROR(INDEX(Ansprechpartner!$F$4:$F$80,MATCH($E131,AP_Namen,0)),""))</f>
        <v/>
      </c>
      <c r="G131" t="str">
        <f>IF($E131="","",IFERROR(INDEX(Ansprechpartner!$C$4:$C$80,MATCH($E131,AP_Namen,0)),""))</f>
        <v/>
      </c>
    </row>
    <row r="132" spans="3:7" ht="15" customHeight="1">
      <c r="C132" t="str">
        <f t="shared" si="1"/>
        <v/>
      </c>
      <c r="F132" t="str">
        <f>IF($E132="","",IFERROR(INDEX(Ansprechpartner!$F$4:$F$80,MATCH($E132,AP_Namen,0)),""))</f>
        <v/>
      </c>
      <c r="G132" t="str">
        <f>IF($E132="","",IFERROR(INDEX(Ansprechpartner!$C$4:$C$80,MATCH($E132,AP_Namen,0)),""))</f>
        <v/>
      </c>
    </row>
    <row r="133" spans="3:7" ht="15" customHeight="1">
      <c r="C133" t="str">
        <f t="shared" ref="C133:C196" si="2">IF(B133="","",CHOOSE(WEEKDAY(B133,2),"Montag","Dienstag","Mittwoch","Donnerstag","Freitag","Samstag","Sonntag"))</f>
        <v/>
      </c>
      <c r="F133" t="str">
        <f>IF($E133="","",IFERROR(INDEX(Ansprechpartner!$F$4:$F$80,MATCH($E133,AP_Namen,0)),""))</f>
        <v/>
      </c>
      <c r="G133" t="str">
        <f>IF($E133="","",IFERROR(INDEX(Ansprechpartner!$C$4:$C$80,MATCH($E133,AP_Namen,0)),""))</f>
        <v/>
      </c>
    </row>
    <row r="134" spans="3:7" ht="15" customHeight="1">
      <c r="C134" t="str">
        <f t="shared" si="2"/>
        <v/>
      </c>
      <c r="F134" t="str">
        <f>IF($E134="","",IFERROR(INDEX(Ansprechpartner!$F$4:$F$80,MATCH($E134,AP_Namen,0)),""))</f>
        <v/>
      </c>
      <c r="G134" t="str">
        <f>IF($E134="","",IFERROR(INDEX(Ansprechpartner!$C$4:$C$80,MATCH($E134,AP_Namen,0)),""))</f>
        <v/>
      </c>
    </row>
    <row r="135" spans="3:7" ht="15" customHeight="1">
      <c r="C135" t="str">
        <f t="shared" si="2"/>
        <v/>
      </c>
      <c r="F135" t="str">
        <f>IF($E135="","",IFERROR(INDEX(Ansprechpartner!$F$4:$F$80,MATCH($E135,AP_Namen,0)),""))</f>
        <v/>
      </c>
      <c r="G135" t="str">
        <f>IF($E135="","",IFERROR(INDEX(Ansprechpartner!$C$4:$C$80,MATCH($E135,AP_Namen,0)),""))</f>
        <v/>
      </c>
    </row>
    <row r="136" spans="3:7" ht="15" customHeight="1">
      <c r="C136" t="str">
        <f t="shared" si="2"/>
        <v/>
      </c>
      <c r="F136" t="str">
        <f>IF($E136="","",IFERROR(INDEX(Ansprechpartner!$F$4:$F$80,MATCH($E136,AP_Namen,0)),""))</f>
        <v/>
      </c>
      <c r="G136" t="str">
        <f>IF($E136="","",IFERROR(INDEX(Ansprechpartner!$C$4:$C$80,MATCH($E136,AP_Namen,0)),""))</f>
        <v/>
      </c>
    </row>
    <row r="137" spans="3:7" ht="15" customHeight="1">
      <c r="C137" t="str">
        <f t="shared" si="2"/>
        <v/>
      </c>
      <c r="F137" t="str">
        <f>IF($E137="","",IFERROR(INDEX(Ansprechpartner!$F$4:$F$80,MATCH($E137,AP_Namen,0)),""))</f>
        <v/>
      </c>
      <c r="G137" t="str">
        <f>IF($E137="","",IFERROR(INDEX(Ansprechpartner!$C$4:$C$80,MATCH($E137,AP_Namen,0)),""))</f>
        <v/>
      </c>
    </row>
    <row r="138" spans="3:7" ht="15" customHeight="1">
      <c r="C138" t="str">
        <f t="shared" si="2"/>
        <v/>
      </c>
      <c r="F138" t="str">
        <f>IF($E138="","",IFERROR(INDEX(Ansprechpartner!$F$4:$F$80,MATCH($E138,AP_Namen,0)),""))</f>
        <v/>
      </c>
      <c r="G138" t="str">
        <f>IF($E138="","",IFERROR(INDEX(Ansprechpartner!$C$4:$C$80,MATCH($E138,AP_Namen,0)),""))</f>
        <v/>
      </c>
    </row>
    <row r="139" spans="3:7" ht="15" customHeight="1">
      <c r="C139" t="str">
        <f t="shared" si="2"/>
        <v/>
      </c>
      <c r="F139" t="str">
        <f>IF($E139="","",IFERROR(INDEX(Ansprechpartner!$F$4:$F$80,MATCH($E139,AP_Namen,0)),""))</f>
        <v/>
      </c>
      <c r="G139" t="str">
        <f>IF($E139="","",IFERROR(INDEX(Ansprechpartner!$C$4:$C$80,MATCH($E139,AP_Namen,0)),""))</f>
        <v/>
      </c>
    </row>
    <row r="140" spans="3:7" ht="15" customHeight="1">
      <c r="C140" t="str">
        <f t="shared" si="2"/>
        <v/>
      </c>
      <c r="F140" t="str">
        <f>IF($E140="","",IFERROR(INDEX(Ansprechpartner!$F$4:$F$80,MATCH($E140,AP_Namen,0)),""))</f>
        <v/>
      </c>
      <c r="G140" t="str">
        <f>IF($E140="","",IFERROR(INDEX(Ansprechpartner!$C$4:$C$80,MATCH($E140,AP_Namen,0)),""))</f>
        <v/>
      </c>
    </row>
    <row r="141" spans="3:7" ht="15" customHeight="1">
      <c r="C141" t="str">
        <f t="shared" si="2"/>
        <v/>
      </c>
      <c r="F141" t="str">
        <f>IF($E141="","",IFERROR(INDEX(Ansprechpartner!$F$4:$F$80,MATCH($E141,AP_Namen,0)),""))</f>
        <v/>
      </c>
      <c r="G141" t="str">
        <f>IF($E141="","",IFERROR(INDEX(Ansprechpartner!$C$4:$C$80,MATCH($E141,AP_Namen,0)),""))</f>
        <v/>
      </c>
    </row>
    <row r="142" spans="3:7" ht="15" customHeight="1">
      <c r="C142" t="str">
        <f t="shared" si="2"/>
        <v/>
      </c>
      <c r="F142" t="str">
        <f>IF($E142="","",IFERROR(INDEX(Ansprechpartner!$F$4:$F$80,MATCH($E142,AP_Namen,0)),""))</f>
        <v/>
      </c>
      <c r="G142" t="str">
        <f>IF($E142="","",IFERROR(INDEX(Ansprechpartner!$C$4:$C$80,MATCH($E142,AP_Namen,0)),""))</f>
        <v/>
      </c>
    </row>
    <row r="143" spans="3:7" ht="15" customHeight="1">
      <c r="C143" t="str">
        <f t="shared" si="2"/>
        <v/>
      </c>
      <c r="F143" t="str">
        <f>IF($E143="","",IFERROR(INDEX(Ansprechpartner!$F$4:$F$80,MATCH($E143,AP_Namen,0)),""))</f>
        <v/>
      </c>
      <c r="G143" t="str">
        <f>IF($E143="","",IFERROR(INDEX(Ansprechpartner!$C$4:$C$80,MATCH($E143,AP_Namen,0)),""))</f>
        <v/>
      </c>
    </row>
    <row r="144" spans="3:7" ht="15" customHeight="1">
      <c r="C144" t="str">
        <f t="shared" si="2"/>
        <v/>
      </c>
      <c r="F144" t="str">
        <f>IF($E144="","",IFERROR(INDEX(Ansprechpartner!$F$4:$F$80,MATCH($E144,AP_Namen,0)),""))</f>
        <v/>
      </c>
      <c r="G144" t="str">
        <f>IF($E144="","",IFERROR(INDEX(Ansprechpartner!$C$4:$C$80,MATCH($E144,AP_Namen,0)),""))</f>
        <v/>
      </c>
    </row>
    <row r="145" spans="3:7" ht="15" customHeight="1">
      <c r="C145" t="str">
        <f t="shared" si="2"/>
        <v/>
      </c>
      <c r="F145" t="str">
        <f>IF($E145="","",IFERROR(INDEX(Ansprechpartner!$F$4:$F$80,MATCH($E145,AP_Namen,0)),""))</f>
        <v/>
      </c>
      <c r="G145" t="str">
        <f>IF($E145="","",IFERROR(INDEX(Ansprechpartner!$C$4:$C$80,MATCH($E145,AP_Namen,0)),""))</f>
        <v/>
      </c>
    </row>
    <row r="146" spans="3:7" ht="15" customHeight="1">
      <c r="C146" t="str">
        <f t="shared" si="2"/>
        <v/>
      </c>
      <c r="F146" t="str">
        <f>IF($E146="","",IFERROR(INDEX(Ansprechpartner!$F$4:$F$80,MATCH($E146,AP_Namen,0)),""))</f>
        <v/>
      </c>
      <c r="G146" t="str">
        <f>IF($E146="","",IFERROR(INDEX(Ansprechpartner!$C$4:$C$80,MATCH($E146,AP_Namen,0)),""))</f>
        <v/>
      </c>
    </row>
    <row r="147" spans="3:7" ht="15" customHeight="1">
      <c r="C147" t="str">
        <f t="shared" si="2"/>
        <v/>
      </c>
      <c r="F147" t="str">
        <f>IF($E147="","",IFERROR(INDEX(Ansprechpartner!$F$4:$F$80,MATCH($E147,AP_Namen,0)),""))</f>
        <v/>
      </c>
      <c r="G147" t="str">
        <f>IF($E147="","",IFERROR(INDEX(Ansprechpartner!$C$4:$C$80,MATCH($E147,AP_Namen,0)),""))</f>
        <v/>
      </c>
    </row>
    <row r="148" spans="3:7" ht="15" customHeight="1">
      <c r="C148" t="str">
        <f t="shared" si="2"/>
        <v/>
      </c>
      <c r="F148" t="str">
        <f>IF($E148="","",IFERROR(INDEX(Ansprechpartner!$F$4:$F$80,MATCH($E148,AP_Namen,0)),""))</f>
        <v/>
      </c>
      <c r="G148" t="str">
        <f>IF($E148="","",IFERROR(INDEX(Ansprechpartner!$C$4:$C$80,MATCH($E148,AP_Namen,0)),""))</f>
        <v/>
      </c>
    </row>
    <row r="149" spans="3:7" ht="15" customHeight="1">
      <c r="C149" t="str">
        <f t="shared" si="2"/>
        <v/>
      </c>
      <c r="F149" t="str">
        <f>IF($E149="","",IFERROR(INDEX(Ansprechpartner!$F$4:$F$80,MATCH($E149,AP_Namen,0)),""))</f>
        <v/>
      </c>
      <c r="G149" t="str">
        <f>IF($E149="","",IFERROR(INDEX(Ansprechpartner!$C$4:$C$80,MATCH($E149,AP_Namen,0)),""))</f>
        <v/>
      </c>
    </row>
    <row r="150" spans="3:7" ht="15" customHeight="1">
      <c r="C150" t="str">
        <f t="shared" si="2"/>
        <v/>
      </c>
      <c r="F150" t="str">
        <f>IF($E150="","",IFERROR(INDEX(Ansprechpartner!$F$4:$F$80,MATCH($E150,AP_Namen,0)),""))</f>
        <v/>
      </c>
      <c r="G150" t="str">
        <f>IF($E150="","",IFERROR(INDEX(Ansprechpartner!$C$4:$C$80,MATCH($E150,AP_Namen,0)),""))</f>
        <v/>
      </c>
    </row>
    <row r="151" spans="3:7" ht="15" customHeight="1">
      <c r="C151" t="str">
        <f t="shared" si="2"/>
        <v/>
      </c>
      <c r="F151" t="str">
        <f>IF($E151="","",IFERROR(INDEX(Ansprechpartner!$F$4:$F$80,MATCH($E151,AP_Namen,0)),""))</f>
        <v/>
      </c>
      <c r="G151" t="str">
        <f>IF($E151="","",IFERROR(INDEX(Ansprechpartner!$C$4:$C$80,MATCH($E151,AP_Namen,0)),""))</f>
        <v/>
      </c>
    </row>
    <row r="152" spans="3:7" ht="15" customHeight="1">
      <c r="C152" t="str">
        <f t="shared" si="2"/>
        <v/>
      </c>
      <c r="F152" t="str">
        <f>IF($E152="","",IFERROR(INDEX(Ansprechpartner!$F$4:$F$80,MATCH($E152,AP_Namen,0)),""))</f>
        <v/>
      </c>
      <c r="G152" t="str">
        <f>IF($E152="","",IFERROR(INDEX(Ansprechpartner!$C$4:$C$80,MATCH($E152,AP_Namen,0)),""))</f>
        <v/>
      </c>
    </row>
    <row r="153" spans="3:7" ht="15" customHeight="1">
      <c r="C153" t="str">
        <f t="shared" si="2"/>
        <v/>
      </c>
      <c r="F153" t="str">
        <f>IF($E153="","",IFERROR(INDEX(Ansprechpartner!$F$4:$F$80,MATCH($E153,AP_Namen,0)),""))</f>
        <v/>
      </c>
      <c r="G153" t="str">
        <f>IF($E153="","",IFERROR(INDEX(Ansprechpartner!$C$4:$C$80,MATCH($E153,AP_Namen,0)),""))</f>
        <v/>
      </c>
    </row>
    <row r="154" spans="3:7" ht="15" customHeight="1">
      <c r="C154" t="str">
        <f t="shared" si="2"/>
        <v/>
      </c>
      <c r="F154" t="str">
        <f>IF($E154="","",IFERROR(INDEX(Ansprechpartner!$F$4:$F$80,MATCH($E154,AP_Namen,0)),""))</f>
        <v/>
      </c>
      <c r="G154" t="str">
        <f>IF($E154="","",IFERROR(INDEX(Ansprechpartner!$C$4:$C$80,MATCH($E154,AP_Namen,0)),""))</f>
        <v/>
      </c>
    </row>
    <row r="155" spans="3:7" ht="15" customHeight="1">
      <c r="C155" t="str">
        <f t="shared" si="2"/>
        <v/>
      </c>
      <c r="F155" t="str">
        <f>IF($E155="","",IFERROR(INDEX(Ansprechpartner!$F$4:$F$80,MATCH($E155,AP_Namen,0)),""))</f>
        <v/>
      </c>
      <c r="G155" t="str">
        <f>IF($E155="","",IFERROR(INDEX(Ansprechpartner!$C$4:$C$80,MATCH($E155,AP_Namen,0)),""))</f>
        <v/>
      </c>
    </row>
    <row r="156" spans="3:7" ht="15" customHeight="1">
      <c r="C156" t="str">
        <f t="shared" si="2"/>
        <v/>
      </c>
      <c r="F156" t="str">
        <f>IF($E156="","",IFERROR(INDEX(Ansprechpartner!$F$4:$F$80,MATCH($E156,AP_Namen,0)),""))</f>
        <v/>
      </c>
      <c r="G156" t="str">
        <f>IF($E156="","",IFERROR(INDEX(Ansprechpartner!$C$4:$C$80,MATCH($E156,AP_Namen,0)),""))</f>
        <v/>
      </c>
    </row>
    <row r="157" spans="3:7" ht="15" customHeight="1">
      <c r="C157" t="str">
        <f t="shared" si="2"/>
        <v/>
      </c>
      <c r="F157" t="str">
        <f>IF($E157="","",IFERROR(INDEX(Ansprechpartner!$F$4:$F$80,MATCH($E157,AP_Namen,0)),""))</f>
        <v/>
      </c>
      <c r="G157" t="str">
        <f>IF($E157="","",IFERROR(INDEX(Ansprechpartner!$C$4:$C$80,MATCH($E157,AP_Namen,0)),""))</f>
        <v/>
      </c>
    </row>
    <row r="158" spans="3:7" ht="15" customHeight="1">
      <c r="C158" t="str">
        <f t="shared" si="2"/>
        <v/>
      </c>
      <c r="F158" t="str">
        <f>IF($E158="","",IFERROR(INDEX(Ansprechpartner!$F$4:$F$80,MATCH($E158,AP_Namen,0)),""))</f>
        <v/>
      </c>
      <c r="G158" t="str">
        <f>IF($E158="","",IFERROR(INDEX(Ansprechpartner!$C$4:$C$80,MATCH($E158,AP_Namen,0)),""))</f>
        <v/>
      </c>
    </row>
    <row r="159" spans="3:7" ht="15" customHeight="1">
      <c r="C159" t="str">
        <f t="shared" si="2"/>
        <v/>
      </c>
      <c r="F159" t="str">
        <f>IF($E159="","",IFERROR(INDEX(Ansprechpartner!$F$4:$F$80,MATCH($E159,AP_Namen,0)),""))</f>
        <v/>
      </c>
      <c r="G159" t="str">
        <f>IF($E159="","",IFERROR(INDEX(Ansprechpartner!$C$4:$C$80,MATCH($E159,AP_Namen,0)),""))</f>
        <v/>
      </c>
    </row>
    <row r="160" spans="3:7" ht="15" customHeight="1">
      <c r="C160" t="str">
        <f t="shared" si="2"/>
        <v/>
      </c>
      <c r="F160" t="str">
        <f>IF($E160="","",IFERROR(INDEX(Ansprechpartner!$F$4:$F$80,MATCH($E160,AP_Namen,0)),""))</f>
        <v/>
      </c>
      <c r="G160" t="str">
        <f>IF($E160="","",IFERROR(INDEX(Ansprechpartner!$C$4:$C$80,MATCH($E160,AP_Namen,0)),""))</f>
        <v/>
      </c>
    </row>
    <row r="161" spans="3:7" ht="15" customHeight="1">
      <c r="C161" t="str">
        <f t="shared" si="2"/>
        <v/>
      </c>
      <c r="F161" t="str">
        <f>IF($E161="","",IFERROR(INDEX(Ansprechpartner!$F$4:$F$80,MATCH($E161,AP_Namen,0)),""))</f>
        <v/>
      </c>
      <c r="G161" t="str">
        <f>IF($E161="","",IFERROR(INDEX(Ansprechpartner!$C$4:$C$80,MATCH($E161,AP_Namen,0)),""))</f>
        <v/>
      </c>
    </row>
    <row r="162" spans="3:7" ht="15" customHeight="1">
      <c r="C162" t="str">
        <f t="shared" si="2"/>
        <v/>
      </c>
      <c r="F162" t="str">
        <f>IF($E162="","",IFERROR(INDEX(Ansprechpartner!$F$4:$F$80,MATCH($E162,AP_Namen,0)),""))</f>
        <v/>
      </c>
      <c r="G162" t="str">
        <f>IF($E162="","",IFERROR(INDEX(Ansprechpartner!$C$4:$C$80,MATCH($E162,AP_Namen,0)),""))</f>
        <v/>
      </c>
    </row>
    <row r="163" spans="3:7" ht="15" customHeight="1">
      <c r="C163" t="str">
        <f t="shared" si="2"/>
        <v/>
      </c>
      <c r="F163" t="str">
        <f>IF($E163="","",IFERROR(INDEX(Ansprechpartner!$F$4:$F$80,MATCH($E163,AP_Namen,0)),""))</f>
        <v/>
      </c>
      <c r="G163" t="str">
        <f>IF($E163="","",IFERROR(INDEX(Ansprechpartner!$C$4:$C$80,MATCH($E163,AP_Namen,0)),""))</f>
        <v/>
      </c>
    </row>
    <row r="164" spans="3:7" ht="15" customHeight="1">
      <c r="C164" t="str">
        <f t="shared" si="2"/>
        <v/>
      </c>
      <c r="F164" t="str">
        <f>IF($E164="","",IFERROR(INDEX(Ansprechpartner!$F$4:$F$80,MATCH($E164,AP_Namen,0)),""))</f>
        <v/>
      </c>
      <c r="G164" t="str">
        <f>IF($E164="","",IFERROR(INDEX(Ansprechpartner!$C$4:$C$80,MATCH($E164,AP_Namen,0)),""))</f>
        <v/>
      </c>
    </row>
    <row r="165" spans="3:7" ht="15" customHeight="1">
      <c r="C165" t="str">
        <f t="shared" si="2"/>
        <v/>
      </c>
      <c r="F165" t="str">
        <f>IF($E165="","",IFERROR(INDEX(Ansprechpartner!$F$4:$F$80,MATCH($E165,AP_Namen,0)),""))</f>
        <v/>
      </c>
      <c r="G165" t="str">
        <f>IF($E165="","",IFERROR(INDEX(Ansprechpartner!$C$4:$C$80,MATCH($E165,AP_Namen,0)),""))</f>
        <v/>
      </c>
    </row>
    <row r="166" spans="3:7" ht="15" customHeight="1">
      <c r="C166" t="str">
        <f t="shared" si="2"/>
        <v/>
      </c>
      <c r="F166" t="str">
        <f>IF($E166="","",IFERROR(INDEX(Ansprechpartner!$F$4:$F$80,MATCH($E166,AP_Namen,0)),""))</f>
        <v/>
      </c>
      <c r="G166" t="str">
        <f>IF($E166="","",IFERROR(INDEX(Ansprechpartner!$C$4:$C$80,MATCH($E166,AP_Namen,0)),""))</f>
        <v/>
      </c>
    </row>
    <row r="167" spans="3:7" ht="15" customHeight="1">
      <c r="C167" t="str">
        <f t="shared" si="2"/>
        <v/>
      </c>
      <c r="F167" t="str">
        <f>IF($E167="","",IFERROR(INDEX(Ansprechpartner!$F$4:$F$80,MATCH($E167,AP_Namen,0)),""))</f>
        <v/>
      </c>
      <c r="G167" t="str">
        <f>IF($E167="","",IFERROR(INDEX(Ansprechpartner!$C$4:$C$80,MATCH($E167,AP_Namen,0)),""))</f>
        <v/>
      </c>
    </row>
    <row r="168" spans="3:7" ht="15" customHeight="1">
      <c r="C168" t="str">
        <f t="shared" si="2"/>
        <v/>
      </c>
      <c r="F168" t="str">
        <f>IF($E168="","",IFERROR(INDEX(Ansprechpartner!$F$4:$F$80,MATCH($E168,AP_Namen,0)),""))</f>
        <v/>
      </c>
      <c r="G168" t="str">
        <f>IF($E168="","",IFERROR(INDEX(Ansprechpartner!$C$4:$C$80,MATCH($E168,AP_Namen,0)),""))</f>
        <v/>
      </c>
    </row>
    <row r="169" spans="3:7" ht="15" customHeight="1">
      <c r="C169" t="str">
        <f t="shared" si="2"/>
        <v/>
      </c>
      <c r="F169" t="str">
        <f>IF($E169="","",IFERROR(INDEX(Ansprechpartner!$F$4:$F$80,MATCH($E169,AP_Namen,0)),""))</f>
        <v/>
      </c>
      <c r="G169" t="str">
        <f>IF($E169="","",IFERROR(INDEX(Ansprechpartner!$C$4:$C$80,MATCH($E169,AP_Namen,0)),""))</f>
        <v/>
      </c>
    </row>
    <row r="170" spans="3:7" ht="15" customHeight="1">
      <c r="C170" t="str">
        <f t="shared" si="2"/>
        <v/>
      </c>
      <c r="F170" t="str">
        <f>IF($E170="","",IFERROR(INDEX(Ansprechpartner!$F$4:$F$80,MATCH($E170,AP_Namen,0)),""))</f>
        <v/>
      </c>
      <c r="G170" t="str">
        <f>IF($E170="","",IFERROR(INDEX(Ansprechpartner!$C$4:$C$80,MATCH($E170,AP_Namen,0)),""))</f>
        <v/>
      </c>
    </row>
    <row r="171" spans="3:7" ht="15" customHeight="1">
      <c r="C171" t="str">
        <f t="shared" si="2"/>
        <v/>
      </c>
      <c r="F171" t="str">
        <f>IF($E171="","",IFERROR(INDEX(Ansprechpartner!$F$4:$F$80,MATCH($E171,AP_Namen,0)),""))</f>
        <v/>
      </c>
      <c r="G171" t="str">
        <f>IF($E171="","",IFERROR(INDEX(Ansprechpartner!$C$4:$C$80,MATCH($E171,AP_Namen,0)),""))</f>
        <v/>
      </c>
    </row>
    <row r="172" spans="3:7" ht="15" customHeight="1">
      <c r="C172" t="str">
        <f t="shared" si="2"/>
        <v/>
      </c>
      <c r="F172" t="str">
        <f>IF($E172="","",IFERROR(INDEX(Ansprechpartner!$F$4:$F$80,MATCH($E172,AP_Namen,0)),""))</f>
        <v/>
      </c>
      <c r="G172" t="str">
        <f>IF($E172="","",IFERROR(INDEX(Ansprechpartner!$C$4:$C$80,MATCH($E172,AP_Namen,0)),""))</f>
        <v/>
      </c>
    </row>
    <row r="173" spans="3:7" ht="15" customHeight="1">
      <c r="C173" t="str">
        <f t="shared" si="2"/>
        <v/>
      </c>
      <c r="F173" t="str">
        <f>IF($E173="","",IFERROR(INDEX(Ansprechpartner!$F$4:$F$80,MATCH($E173,AP_Namen,0)),""))</f>
        <v/>
      </c>
      <c r="G173" t="str">
        <f>IF($E173="","",IFERROR(INDEX(Ansprechpartner!$C$4:$C$80,MATCH($E173,AP_Namen,0)),""))</f>
        <v/>
      </c>
    </row>
    <row r="174" spans="3:7" ht="15" customHeight="1">
      <c r="C174" t="str">
        <f t="shared" si="2"/>
        <v/>
      </c>
      <c r="F174" t="str">
        <f>IF($E174="","",IFERROR(INDEX(Ansprechpartner!$F$4:$F$80,MATCH($E174,AP_Namen,0)),""))</f>
        <v/>
      </c>
      <c r="G174" t="str">
        <f>IF($E174="","",IFERROR(INDEX(Ansprechpartner!$C$4:$C$80,MATCH($E174,AP_Namen,0)),""))</f>
        <v/>
      </c>
    </row>
    <row r="175" spans="3:7" ht="15" customHeight="1">
      <c r="C175" t="str">
        <f t="shared" si="2"/>
        <v/>
      </c>
      <c r="F175" t="str">
        <f>IF($E175="","",IFERROR(INDEX(Ansprechpartner!$F$4:$F$80,MATCH($E175,AP_Namen,0)),""))</f>
        <v/>
      </c>
      <c r="G175" t="str">
        <f>IF($E175="","",IFERROR(INDEX(Ansprechpartner!$C$4:$C$80,MATCH($E175,AP_Namen,0)),""))</f>
        <v/>
      </c>
    </row>
    <row r="176" spans="3:7" ht="15" customHeight="1">
      <c r="C176" t="str">
        <f t="shared" si="2"/>
        <v/>
      </c>
      <c r="F176" t="str">
        <f>IF($E176="","",IFERROR(INDEX(Ansprechpartner!$F$4:$F$80,MATCH($E176,AP_Namen,0)),""))</f>
        <v/>
      </c>
      <c r="G176" t="str">
        <f>IF($E176="","",IFERROR(INDEX(Ansprechpartner!$C$4:$C$80,MATCH($E176,AP_Namen,0)),""))</f>
        <v/>
      </c>
    </row>
    <row r="177" spans="3:7" ht="15" customHeight="1">
      <c r="C177" t="str">
        <f t="shared" si="2"/>
        <v/>
      </c>
      <c r="F177" t="str">
        <f>IF($E177="","",IFERROR(INDEX(Ansprechpartner!$F$4:$F$80,MATCH($E177,AP_Namen,0)),""))</f>
        <v/>
      </c>
      <c r="G177" t="str">
        <f>IF($E177="","",IFERROR(INDEX(Ansprechpartner!$C$4:$C$80,MATCH($E177,AP_Namen,0)),""))</f>
        <v/>
      </c>
    </row>
    <row r="178" spans="3:7" ht="15" customHeight="1">
      <c r="C178" t="str">
        <f t="shared" si="2"/>
        <v/>
      </c>
      <c r="F178" t="str">
        <f>IF($E178="","",IFERROR(INDEX(Ansprechpartner!$F$4:$F$80,MATCH($E178,AP_Namen,0)),""))</f>
        <v/>
      </c>
      <c r="G178" t="str">
        <f>IF($E178="","",IFERROR(INDEX(Ansprechpartner!$C$4:$C$80,MATCH($E178,AP_Namen,0)),""))</f>
        <v/>
      </c>
    </row>
    <row r="179" spans="3:7" ht="15" customHeight="1">
      <c r="C179" t="str">
        <f t="shared" si="2"/>
        <v/>
      </c>
      <c r="F179" t="str">
        <f>IF($E179="","",IFERROR(INDEX(Ansprechpartner!$F$4:$F$80,MATCH($E179,AP_Namen,0)),""))</f>
        <v/>
      </c>
      <c r="G179" t="str">
        <f>IF($E179="","",IFERROR(INDEX(Ansprechpartner!$C$4:$C$80,MATCH($E179,AP_Namen,0)),""))</f>
        <v/>
      </c>
    </row>
    <row r="180" spans="3:7" ht="15" customHeight="1">
      <c r="C180" t="str">
        <f t="shared" si="2"/>
        <v/>
      </c>
      <c r="F180" t="str">
        <f>IF($E180="","",IFERROR(INDEX(Ansprechpartner!$F$4:$F$80,MATCH($E180,AP_Namen,0)),""))</f>
        <v/>
      </c>
      <c r="G180" t="str">
        <f>IF($E180="","",IFERROR(INDEX(Ansprechpartner!$C$4:$C$80,MATCH($E180,AP_Namen,0)),""))</f>
        <v/>
      </c>
    </row>
    <row r="181" spans="3:7" ht="15" customHeight="1">
      <c r="C181" t="str">
        <f t="shared" si="2"/>
        <v/>
      </c>
      <c r="F181" t="str">
        <f>IF($E181="","",IFERROR(INDEX(Ansprechpartner!$F$4:$F$80,MATCH($E181,AP_Namen,0)),""))</f>
        <v/>
      </c>
      <c r="G181" t="str">
        <f>IF($E181="","",IFERROR(INDEX(Ansprechpartner!$C$4:$C$80,MATCH($E181,AP_Namen,0)),""))</f>
        <v/>
      </c>
    </row>
    <row r="182" spans="3:7" ht="15" customHeight="1">
      <c r="C182" t="str">
        <f t="shared" si="2"/>
        <v/>
      </c>
      <c r="F182" t="str">
        <f>IF($E182="","",IFERROR(INDEX(Ansprechpartner!$F$4:$F$80,MATCH($E182,AP_Namen,0)),""))</f>
        <v/>
      </c>
      <c r="G182" t="str">
        <f>IF($E182="","",IFERROR(INDEX(Ansprechpartner!$C$4:$C$80,MATCH($E182,AP_Namen,0)),""))</f>
        <v/>
      </c>
    </row>
    <row r="183" spans="3:7" ht="15" customHeight="1">
      <c r="C183" t="str">
        <f t="shared" si="2"/>
        <v/>
      </c>
      <c r="F183" t="str">
        <f>IF($E183="","",IFERROR(INDEX(Ansprechpartner!$F$4:$F$80,MATCH($E183,AP_Namen,0)),""))</f>
        <v/>
      </c>
      <c r="G183" t="str">
        <f>IF($E183="","",IFERROR(INDEX(Ansprechpartner!$C$4:$C$80,MATCH($E183,AP_Namen,0)),""))</f>
        <v/>
      </c>
    </row>
    <row r="184" spans="3:7" ht="15" customHeight="1">
      <c r="C184" t="str">
        <f t="shared" si="2"/>
        <v/>
      </c>
      <c r="F184" t="str">
        <f>IF($E184="","",IFERROR(INDEX(Ansprechpartner!$F$4:$F$80,MATCH($E184,AP_Namen,0)),""))</f>
        <v/>
      </c>
      <c r="G184" t="str">
        <f>IF($E184="","",IFERROR(INDEX(Ansprechpartner!$C$4:$C$80,MATCH($E184,AP_Namen,0)),""))</f>
        <v/>
      </c>
    </row>
    <row r="185" spans="3:7" ht="15" customHeight="1">
      <c r="C185" t="str">
        <f t="shared" si="2"/>
        <v/>
      </c>
      <c r="F185" t="str">
        <f>IF($E185="","",IFERROR(INDEX(Ansprechpartner!$F$4:$F$80,MATCH($E185,AP_Namen,0)),""))</f>
        <v/>
      </c>
      <c r="G185" t="str">
        <f>IF($E185="","",IFERROR(INDEX(Ansprechpartner!$C$4:$C$80,MATCH($E185,AP_Namen,0)),""))</f>
        <v/>
      </c>
    </row>
    <row r="186" spans="3:7" ht="15" customHeight="1">
      <c r="C186" t="str">
        <f t="shared" si="2"/>
        <v/>
      </c>
      <c r="F186" t="str">
        <f>IF($E186="","",IFERROR(INDEX(Ansprechpartner!$F$4:$F$80,MATCH($E186,AP_Namen,0)),""))</f>
        <v/>
      </c>
      <c r="G186" t="str">
        <f>IF($E186="","",IFERROR(INDEX(Ansprechpartner!$C$4:$C$80,MATCH($E186,AP_Namen,0)),""))</f>
        <v/>
      </c>
    </row>
    <row r="187" spans="3:7" ht="15" customHeight="1">
      <c r="C187" t="str">
        <f t="shared" si="2"/>
        <v/>
      </c>
      <c r="F187" t="str">
        <f>IF($E187="","",IFERROR(INDEX(Ansprechpartner!$F$4:$F$80,MATCH($E187,AP_Namen,0)),""))</f>
        <v/>
      </c>
      <c r="G187" t="str">
        <f>IF($E187="","",IFERROR(INDEX(Ansprechpartner!$C$4:$C$80,MATCH($E187,AP_Namen,0)),""))</f>
        <v/>
      </c>
    </row>
    <row r="188" spans="3:7" ht="15" customHeight="1">
      <c r="C188" t="str">
        <f t="shared" si="2"/>
        <v/>
      </c>
      <c r="F188" t="str">
        <f>IF($E188="","",IFERROR(INDEX(Ansprechpartner!$F$4:$F$80,MATCH($E188,AP_Namen,0)),""))</f>
        <v/>
      </c>
      <c r="G188" t="str">
        <f>IF($E188="","",IFERROR(INDEX(Ansprechpartner!$C$4:$C$80,MATCH($E188,AP_Namen,0)),""))</f>
        <v/>
      </c>
    </row>
    <row r="189" spans="3:7" ht="15" customHeight="1">
      <c r="C189" t="str">
        <f t="shared" si="2"/>
        <v/>
      </c>
      <c r="F189" t="str">
        <f>IF($E189="","",IFERROR(INDEX(Ansprechpartner!$F$4:$F$80,MATCH($E189,AP_Namen,0)),""))</f>
        <v/>
      </c>
      <c r="G189" t="str">
        <f>IF($E189="","",IFERROR(INDEX(Ansprechpartner!$C$4:$C$80,MATCH($E189,AP_Namen,0)),""))</f>
        <v/>
      </c>
    </row>
    <row r="190" spans="3:7" ht="15" customHeight="1">
      <c r="C190" t="str">
        <f t="shared" si="2"/>
        <v/>
      </c>
      <c r="F190" t="str">
        <f>IF($E190="","",IFERROR(INDEX(Ansprechpartner!$F$4:$F$80,MATCH($E190,AP_Namen,0)),""))</f>
        <v/>
      </c>
      <c r="G190" t="str">
        <f>IF($E190="","",IFERROR(INDEX(Ansprechpartner!$C$4:$C$80,MATCH($E190,AP_Namen,0)),""))</f>
        <v/>
      </c>
    </row>
    <row r="191" spans="3:7" ht="15" customHeight="1">
      <c r="C191" t="str">
        <f t="shared" si="2"/>
        <v/>
      </c>
      <c r="F191" t="str">
        <f>IF($E191="","",IFERROR(INDEX(Ansprechpartner!$F$4:$F$80,MATCH($E191,AP_Namen,0)),""))</f>
        <v/>
      </c>
      <c r="G191" t="str">
        <f>IF($E191="","",IFERROR(INDEX(Ansprechpartner!$C$4:$C$80,MATCH($E191,AP_Namen,0)),""))</f>
        <v/>
      </c>
    </row>
    <row r="192" spans="3:7" ht="15" customHeight="1">
      <c r="C192" t="str">
        <f t="shared" si="2"/>
        <v/>
      </c>
      <c r="F192" t="str">
        <f>IF($E192="","",IFERROR(INDEX(Ansprechpartner!$F$4:$F$80,MATCH($E192,AP_Namen,0)),""))</f>
        <v/>
      </c>
      <c r="G192" t="str">
        <f>IF($E192="","",IFERROR(INDEX(Ansprechpartner!$C$4:$C$80,MATCH($E192,AP_Namen,0)),""))</f>
        <v/>
      </c>
    </row>
    <row r="193" spans="3:7" ht="15" customHeight="1">
      <c r="C193" t="str">
        <f t="shared" si="2"/>
        <v/>
      </c>
      <c r="F193" t="str">
        <f>IF($E193="","",IFERROR(INDEX(Ansprechpartner!$F$4:$F$80,MATCH($E193,AP_Namen,0)),""))</f>
        <v/>
      </c>
      <c r="G193" t="str">
        <f>IF($E193="","",IFERROR(INDEX(Ansprechpartner!$C$4:$C$80,MATCH($E193,AP_Namen,0)),""))</f>
        <v/>
      </c>
    </row>
    <row r="194" spans="3:7" ht="15" customHeight="1">
      <c r="C194" t="str">
        <f t="shared" si="2"/>
        <v/>
      </c>
      <c r="F194" t="str">
        <f>IF($E194="","",IFERROR(INDEX(Ansprechpartner!$F$4:$F$80,MATCH($E194,AP_Namen,0)),""))</f>
        <v/>
      </c>
      <c r="G194" t="str">
        <f>IF($E194="","",IFERROR(INDEX(Ansprechpartner!$C$4:$C$80,MATCH($E194,AP_Namen,0)),""))</f>
        <v/>
      </c>
    </row>
    <row r="195" spans="3:7" ht="15" customHeight="1">
      <c r="C195" t="str">
        <f t="shared" si="2"/>
        <v/>
      </c>
      <c r="F195" t="str">
        <f>IF($E195="","",IFERROR(INDEX(Ansprechpartner!$F$4:$F$80,MATCH($E195,AP_Namen,0)),""))</f>
        <v/>
      </c>
      <c r="G195" t="str">
        <f>IF($E195="","",IFERROR(INDEX(Ansprechpartner!$C$4:$C$80,MATCH($E195,AP_Namen,0)),""))</f>
        <v/>
      </c>
    </row>
    <row r="196" spans="3:7" ht="15" customHeight="1">
      <c r="C196" t="str">
        <f t="shared" si="2"/>
        <v/>
      </c>
      <c r="F196" t="str">
        <f>IF($E196="","",IFERROR(INDEX(Ansprechpartner!$F$4:$F$80,MATCH($E196,AP_Namen,0)),""))</f>
        <v/>
      </c>
      <c r="G196" t="str">
        <f>IF($E196="","",IFERROR(INDEX(Ansprechpartner!$C$4:$C$80,MATCH($E196,AP_Namen,0)),""))</f>
        <v/>
      </c>
    </row>
    <row r="197" spans="3:7" ht="15" customHeight="1">
      <c r="C197" t="str">
        <f t="shared" ref="C197:C260" si="3">IF(B197="","",CHOOSE(WEEKDAY(B197,2),"Montag","Dienstag","Mittwoch","Donnerstag","Freitag","Samstag","Sonntag"))</f>
        <v/>
      </c>
      <c r="F197" t="str">
        <f>IF($E197="","",IFERROR(INDEX(Ansprechpartner!$F$4:$F$80,MATCH($E197,AP_Namen,0)),""))</f>
        <v/>
      </c>
      <c r="G197" t="str">
        <f>IF($E197="","",IFERROR(INDEX(Ansprechpartner!$C$4:$C$80,MATCH($E197,AP_Namen,0)),""))</f>
        <v/>
      </c>
    </row>
    <row r="198" spans="3:7" ht="15" customHeight="1">
      <c r="C198" t="str">
        <f t="shared" si="3"/>
        <v/>
      </c>
      <c r="F198" t="str">
        <f>IF($E198="","",IFERROR(INDEX(Ansprechpartner!$F$4:$F$80,MATCH($E198,AP_Namen,0)),""))</f>
        <v/>
      </c>
      <c r="G198" t="str">
        <f>IF($E198="","",IFERROR(INDEX(Ansprechpartner!$C$4:$C$80,MATCH($E198,AP_Namen,0)),""))</f>
        <v/>
      </c>
    </row>
    <row r="199" spans="3:7" ht="15" customHeight="1">
      <c r="C199" t="str">
        <f t="shared" si="3"/>
        <v/>
      </c>
      <c r="F199" t="str">
        <f>IF($E199="","",IFERROR(INDEX(Ansprechpartner!$F$4:$F$80,MATCH($E199,AP_Namen,0)),""))</f>
        <v/>
      </c>
      <c r="G199" t="str">
        <f>IF($E199="","",IFERROR(INDEX(Ansprechpartner!$C$4:$C$80,MATCH($E199,AP_Namen,0)),""))</f>
        <v/>
      </c>
    </row>
    <row r="200" spans="3:7" ht="15" customHeight="1">
      <c r="C200" t="str">
        <f t="shared" si="3"/>
        <v/>
      </c>
      <c r="F200" t="str">
        <f>IF($E200="","",IFERROR(INDEX(Ansprechpartner!$F$4:$F$80,MATCH($E200,AP_Namen,0)),""))</f>
        <v/>
      </c>
      <c r="G200" t="str">
        <f>IF($E200="","",IFERROR(INDEX(Ansprechpartner!$C$4:$C$80,MATCH($E200,AP_Namen,0)),""))</f>
        <v/>
      </c>
    </row>
    <row r="201" spans="3:7" ht="15" customHeight="1">
      <c r="C201" t="str">
        <f t="shared" si="3"/>
        <v/>
      </c>
      <c r="F201" t="str">
        <f>IF($E201="","",IFERROR(INDEX(Ansprechpartner!$F$4:$F$80,MATCH($E201,AP_Namen,0)),""))</f>
        <v/>
      </c>
      <c r="G201" t="str">
        <f>IF($E201="","",IFERROR(INDEX(Ansprechpartner!$C$4:$C$80,MATCH($E201,AP_Namen,0)),""))</f>
        <v/>
      </c>
    </row>
    <row r="202" spans="3:7" ht="15" customHeight="1">
      <c r="C202" t="str">
        <f t="shared" si="3"/>
        <v/>
      </c>
      <c r="F202" t="str">
        <f>IF($E202="","",IFERROR(INDEX(Ansprechpartner!$F$4:$F$80,MATCH($E202,AP_Namen,0)),""))</f>
        <v/>
      </c>
      <c r="G202" t="str">
        <f>IF($E202="","",IFERROR(INDEX(Ansprechpartner!$C$4:$C$80,MATCH($E202,AP_Namen,0)),""))</f>
        <v/>
      </c>
    </row>
    <row r="203" spans="3:7" ht="15" customHeight="1">
      <c r="C203" t="str">
        <f t="shared" si="3"/>
        <v/>
      </c>
      <c r="F203" t="str">
        <f>IF($E203="","",IFERROR(INDEX(Ansprechpartner!$F$4:$F$80,MATCH($E203,AP_Namen,0)),""))</f>
        <v/>
      </c>
      <c r="G203" t="str">
        <f>IF($E203="","",IFERROR(INDEX(Ansprechpartner!$C$4:$C$80,MATCH($E203,AP_Namen,0)),""))</f>
        <v/>
      </c>
    </row>
    <row r="204" spans="3:7" ht="15" customHeight="1">
      <c r="C204" t="str">
        <f t="shared" si="3"/>
        <v/>
      </c>
      <c r="F204" t="str">
        <f>IF($E204="","",IFERROR(INDEX(Ansprechpartner!$F$4:$F$80,MATCH($E204,AP_Namen,0)),""))</f>
        <v/>
      </c>
      <c r="G204" t="str">
        <f>IF($E204="","",IFERROR(INDEX(Ansprechpartner!$C$4:$C$80,MATCH($E204,AP_Namen,0)),""))</f>
        <v/>
      </c>
    </row>
    <row r="205" spans="3:7" ht="15" customHeight="1">
      <c r="C205" t="str">
        <f t="shared" si="3"/>
        <v/>
      </c>
      <c r="F205" t="str">
        <f>IF($E205="","",IFERROR(INDEX(Ansprechpartner!$F$4:$F$80,MATCH($E205,AP_Namen,0)),""))</f>
        <v/>
      </c>
      <c r="G205" t="str">
        <f>IF($E205="","",IFERROR(INDEX(Ansprechpartner!$C$4:$C$80,MATCH($E205,AP_Namen,0)),""))</f>
        <v/>
      </c>
    </row>
    <row r="206" spans="3:7" ht="15" customHeight="1">
      <c r="C206" t="str">
        <f t="shared" si="3"/>
        <v/>
      </c>
      <c r="F206" t="str">
        <f>IF($E206="","",IFERROR(INDEX(Ansprechpartner!$F$4:$F$80,MATCH($E206,AP_Namen,0)),""))</f>
        <v/>
      </c>
      <c r="G206" t="str">
        <f>IF($E206="","",IFERROR(INDEX(Ansprechpartner!$C$4:$C$80,MATCH($E206,AP_Namen,0)),""))</f>
        <v/>
      </c>
    </row>
    <row r="207" spans="3:7" ht="15" customHeight="1">
      <c r="C207" t="str">
        <f t="shared" si="3"/>
        <v/>
      </c>
      <c r="F207" t="str">
        <f>IF($E207="","",IFERROR(INDEX(Ansprechpartner!$F$4:$F$80,MATCH($E207,AP_Namen,0)),""))</f>
        <v/>
      </c>
      <c r="G207" t="str">
        <f>IF($E207="","",IFERROR(INDEX(Ansprechpartner!$C$4:$C$80,MATCH($E207,AP_Namen,0)),""))</f>
        <v/>
      </c>
    </row>
    <row r="208" spans="3:7" ht="15" customHeight="1">
      <c r="C208" t="str">
        <f t="shared" si="3"/>
        <v/>
      </c>
      <c r="F208" t="str">
        <f>IF($E208="","",IFERROR(INDEX(Ansprechpartner!$F$4:$F$80,MATCH($E208,AP_Namen,0)),""))</f>
        <v/>
      </c>
      <c r="G208" t="str">
        <f>IF($E208="","",IFERROR(INDEX(Ansprechpartner!$C$4:$C$80,MATCH($E208,AP_Namen,0)),""))</f>
        <v/>
      </c>
    </row>
    <row r="209" spans="3:7" ht="15" customHeight="1">
      <c r="C209" t="str">
        <f t="shared" si="3"/>
        <v/>
      </c>
      <c r="F209" t="str">
        <f>IF($E209="","",IFERROR(INDEX(Ansprechpartner!$F$4:$F$80,MATCH($E209,AP_Namen,0)),""))</f>
        <v/>
      </c>
      <c r="G209" t="str">
        <f>IF($E209="","",IFERROR(INDEX(Ansprechpartner!$C$4:$C$80,MATCH($E209,AP_Namen,0)),""))</f>
        <v/>
      </c>
    </row>
    <row r="210" spans="3:7" ht="15" customHeight="1">
      <c r="C210" t="str">
        <f t="shared" si="3"/>
        <v/>
      </c>
      <c r="F210" t="str">
        <f>IF($E210="","",IFERROR(INDEX(Ansprechpartner!$F$4:$F$80,MATCH($E210,AP_Namen,0)),""))</f>
        <v/>
      </c>
      <c r="G210" t="str">
        <f>IF($E210="","",IFERROR(INDEX(Ansprechpartner!$C$4:$C$80,MATCH($E210,AP_Namen,0)),""))</f>
        <v/>
      </c>
    </row>
    <row r="211" spans="3:7" ht="15" customHeight="1">
      <c r="C211" t="str">
        <f t="shared" si="3"/>
        <v/>
      </c>
      <c r="F211" t="str">
        <f>IF($E211="","",IFERROR(INDEX(Ansprechpartner!$F$4:$F$80,MATCH($E211,AP_Namen,0)),""))</f>
        <v/>
      </c>
      <c r="G211" t="str">
        <f>IF($E211="","",IFERROR(INDEX(Ansprechpartner!$C$4:$C$80,MATCH($E211,AP_Namen,0)),""))</f>
        <v/>
      </c>
    </row>
    <row r="212" spans="3:7" ht="15" customHeight="1">
      <c r="C212" t="str">
        <f t="shared" si="3"/>
        <v/>
      </c>
      <c r="F212" t="str">
        <f>IF($E212="","",IFERROR(INDEX(Ansprechpartner!$F$4:$F$80,MATCH($E212,AP_Namen,0)),""))</f>
        <v/>
      </c>
      <c r="G212" t="str">
        <f>IF($E212="","",IFERROR(INDEX(Ansprechpartner!$C$4:$C$80,MATCH($E212,AP_Namen,0)),""))</f>
        <v/>
      </c>
    </row>
    <row r="213" spans="3:7" ht="15" customHeight="1">
      <c r="C213" t="str">
        <f t="shared" si="3"/>
        <v/>
      </c>
      <c r="F213" t="str">
        <f>IF($E213="","",IFERROR(INDEX(Ansprechpartner!$F$4:$F$80,MATCH($E213,AP_Namen,0)),""))</f>
        <v/>
      </c>
      <c r="G213" t="str">
        <f>IF($E213="","",IFERROR(INDEX(Ansprechpartner!$C$4:$C$80,MATCH($E213,AP_Namen,0)),""))</f>
        <v/>
      </c>
    </row>
    <row r="214" spans="3:7" ht="15" customHeight="1">
      <c r="C214" t="str">
        <f t="shared" si="3"/>
        <v/>
      </c>
      <c r="F214" t="str">
        <f>IF($E214="","",IFERROR(INDEX(Ansprechpartner!$F$4:$F$80,MATCH($E214,AP_Namen,0)),""))</f>
        <v/>
      </c>
      <c r="G214" t="str">
        <f>IF($E214="","",IFERROR(INDEX(Ansprechpartner!$C$4:$C$80,MATCH($E214,AP_Namen,0)),""))</f>
        <v/>
      </c>
    </row>
    <row r="215" spans="3:7" ht="15" customHeight="1">
      <c r="C215" t="str">
        <f t="shared" si="3"/>
        <v/>
      </c>
      <c r="F215" t="str">
        <f>IF($E215="","",IFERROR(INDEX(Ansprechpartner!$F$4:$F$80,MATCH($E215,AP_Namen,0)),""))</f>
        <v/>
      </c>
      <c r="G215" t="str">
        <f>IF($E215="","",IFERROR(INDEX(Ansprechpartner!$C$4:$C$80,MATCH($E215,AP_Namen,0)),""))</f>
        <v/>
      </c>
    </row>
    <row r="216" spans="3:7" ht="15" customHeight="1">
      <c r="C216" t="str">
        <f t="shared" si="3"/>
        <v/>
      </c>
      <c r="F216" t="str">
        <f>IF($E216="","",IFERROR(INDEX(Ansprechpartner!$F$4:$F$80,MATCH($E216,AP_Namen,0)),""))</f>
        <v/>
      </c>
      <c r="G216" t="str">
        <f>IF($E216="","",IFERROR(INDEX(Ansprechpartner!$C$4:$C$80,MATCH($E216,AP_Namen,0)),""))</f>
        <v/>
      </c>
    </row>
    <row r="217" spans="3:7" ht="15" customHeight="1">
      <c r="C217" t="str">
        <f t="shared" si="3"/>
        <v/>
      </c>
      <c r="F217" t="str">
        <f>IF($E217="","",IFERROR(INDEX(Ansprechpartner!$F$4:$F$80,MATCH($E217,AP_Namen,0)),""))</f>
        <v/>
      </c>
      <c r="G217" t="str">
        <f>IF($E217="","",IFERROR(INDEX(Ansprechpartner!$C$4:$C$80,MATCH($E217,AP_Namen,0)),""))</f>
        <v/>
      </c>
    </row>
    <row r="218" spans="3:7" ht="15" customHeight="1">
      <c r="C218" t="str">
        <f t="shared" si="3"/>
        <v/>
      </c>
      <c r="F218" t="str">
        <f>IF($E218="","",IFERROR(INDEX(Ansprechpartner!$F$4:$F$80,MATCH($E218,AP_Namen,0)),""))</f>
        <v/>
      </c>
      <c r="G218" t="str">
        <f>IF($E218="","",IFERROR(INDEX(Ansprechpartner!$C$4:$C$80,MATCH($E218,AP_Namen,0)),""))</f>
        <v/>
      </c>
    </row>
    <row r="219" spans="3:7" ht="15" customHeight="1">
      <c r="C219" t="str">
        <f t="shared" si="3"/>
        <v/>
      </c>
      <c r="F219" t="str">
        <f>IF($E219="","",IFERROR(INDEX(Ansprechpartner!$F$4:$F$80,MATCH($E219,AP_Namen,0)),""))</f>
        <v/>
      </c>
      <c r="G219" t="str">
        <f>IF($E219="","",IFERROR(INDEX(Ansprechpartner!$C$4:$C$80,MATCH($E219,AP_Namen,0)),""))</f>
        <v/>
      </c>
    </row>
    <row r="220" spans="3:7" ht="15" customHeight="1">
      <c r="C220" t="str">
        <f t="shared" si="3"/>
        <v/>
      </c>
      <c r="F220" t="str">
        <f>IF($E220="","",IFERROR(INDEX(Ansprechpartner!$F$4:$F$80,MATCH($E220,AP_Namen,0)),""))</f>
        <v/>
      </c>
      <c r="G220" t="str">
        <f>IF($E220="","",IFERROR(INDEX(Ansprechpartner!$C$4:$C$80,MATCH($E220,AP_Namen,0)),""))</f>
        <v/>
      </c>
    </row>
    <row r="221" spans="3:7" ht="15" customHeight="1">
      <c r="C221" t="str">
        <f t="shared" si="3"/>
        <v/>
      </c>
      <c r="F221" t="str">
        <f>IF($E221="","",IFERROR(INDEX(Ansprechpartner!$F$4:$F$80,MATCH($E221,AP_Namen,0)),""))</f>
        <v/>
      </c>
      <c r="G221" t="str">
        <f>IF($E221="","",IFERROR(INDEX(Ansprechpartner!$C$4:$C$80,MATCH($E221,AP_Namen,0)),""))</f>
        <v/>
      </c>
    </row>
    <row r="222" spans="3:7" ht="15" customHeight="1">
      <c r="C222" t="str">
        <f t="shared" si="3"/>
        <v/>
      </c>
      <c r="F222" t="str">
        <f>IF($E222="","",IFERROR(INDEX(Ansprechpartner!$F$4:$F$80,MATCH($E222,AP_Namen,0)),""))</f>
        <v/>
      </c>
      <c r="G222" t="str">
        <f>IF($E222="","",IFERROR(INDEX(Ansprechpartner!$C$4:$C$80,MATCH($E222,AP_Namen,0)),""))</f>
        <v/>
      </c>
    </row>
    <row r="223" spans="3:7" ht="15" customHeight="1">
      <c r="C223" t="str">
        <f t="shared" si="3"/>
        <v/>
      </c>
      <c r="F223" t="str">
        <f>IF($E223="","",IFERROR(INDEX(Ansprechpartner!$F$4:$F$80,MATCH($E223,AP_Namen,0)),""))</f>
        <v/>
      </c>
      <c r="G223" t="str">
        <f>IF($E223="","",IFERROR(INDEX(Ansprechpartner!$C$4:$C$80,MATCH($E223,AP_Namen,0)),""))</f>
        <v/>
      </c>
    </row>
    <row r="224" spans="3:7" ht="15" customHeight="1">
      <c r="C224" t="str">
        <f t="shared" si="3"/>
        <v/>
      </c>
      <c r="F224" t="str">
        <f>IF($E224="","",IFERROR(INDEX(Ansprechpartner!$F$4:$F$80,MATCH($E224,AP_Namen,0)),""))</f>
        <v/>
      </c>
      <c r="G224" t="str">
        <f>IF($E224="","",IFERROR(INDEX(Ansprechpartner!$C$4:$C$80,MATCH($E224,AP_Namen,0)),""))</f>
        <v/>
      </c>
    </row>
    <row r="225" spans="3:7" ht="15" customHeight="1">
      <c r="C225" t="str">
        <f t="shared" si="3"/>
        <v/>
      </c>
      <c r="F225" t="str">
        <f>IF($E225="","",IFERROR(INDEX(Ansprechpartner!$F$4:$F$80,MATCH($E225,AP_Namen,0)),""))</f>
        <v/>
      </c>
      <c r="G225" t="str">
        <f>IF($E225="","",IFERROR(INDEX(Ansprechpartner!$C$4:$C$80,MATCH($E225,AP_Namen,0)),""))</f>
        <v/>
      </c>
    </row>
    <row r="226" spans="3:7" ht="15" customHeight="1">
      <c r="C226" t="str">
        <f t="shared" si="3"/>
        <v/>
      </c>
      <c r="F226" t="str">
        <f>IF($E226="","",IFERROR(INDEX(Ansprechpartner!$F$4:$F$80,MATCH($E226,AP_Namen,0)),""))</f>
        <v/>
      </c>
      <c r="G226" t="str">
        <f>IF($E226="","",IFERROR(INDEX(Ansprechpartner!$C$4:$C$80,MATCH($E226,AP_Namen,0)),""))</f>
        <v/>
      </c>
    </row>
    <row r="227" spans="3:7" ht="15" customHeight="1">
      <c r="C227" t="str">
        <f t="shared" si="3"/>
        <v/>
      </c>
      <c r="F227" t="str">
        <f>IF($E227="","",IFERROR(INDEX(Ansprechpartner!$F$4:$F$80,MATCH($E227,AP_Namen,0)),""))</f>
        <v/>
      </c>
      <c r="G227" t="str">
        <f>IF($E227="","",IFERROR(INDEX(Ansprechpartner!$C$4:$C$80,MATCH($E227,AP_Namen,0)),""))</f>
        <v/>
      </c>
    </row>
    <row r="228" spans="3:7" ht="15" customHeight="1">
      <c r="C228" t="str">
        <f t="shared" si="3"/>
        <v/>
      </c>
      <c r="F228" t="str">
        <f>IF($E228="","",IFERROR(INDEX(Ansprechpartner!$F$4:$F$80,MATCH($E228,AP_Namen,0)),""))</f>
        <v/>
      </c>
      <c r="G228" t="str">
        <f>IF($E228="","",IFERROR(INDEX(Ansprechpartner!$C$4:$C$80,MATCH($E228,AP_Namen,0)),""))</f>
        <v/>
      </c>
    </row>
    <row r="229" spans="3:7" ht="15" customHeight="1">
      <c r="C229" t="str">
        <f t="shared" si="3"/>
        <v/>
      </c>
      <c r="F229" t="str">
        <f>IF($E229="","",IFERROR(INDEX(Ansprechpartner!$F$4:$F$80,MATCH($E229,AP_Namen,0)),""))</f>
        <v/>
      </c>
      <c r="G229" t="str">
        <f>IF($E229="","",IFERROR(INDEX(Ansprechpartner!$C$4:$C$80,MATCH($E229,AP_Namen,0)),""))</f>
        <v/>
      </c>
    </row>
    <row r="230" spans="3:7" ht="15" customHeight="1">
      <c r="C230" t="str">
        <f t="shared" si="3"/>
        <v/>
      </c>
      <c r="F230" t="str">
        <f>IF($E230="","",IFERROR(INDEX(Ansprechpartner!$F$4:$F$80,MATCH($E230,AP_Namen,0)),""))</f>
        <v/>
      </c>
      <c r="G230" t="str">
        <f>IF($E230="","",IFERROR(INDEX(Ansprechpartner!$C$4:$C$80,MATCH($E230,AP_Namen,0)),""))</f>
        <v/>
      </c>
    </row>
    <row r="231" spans="3:7" ht="15" customHeight="1">
      <c r="C231" t="str">
        <f t="shared" si="3"/>
        <v/>
      </c>
      <c r="F231" t="str">
        <f>IF($E231="","",IFERROR(INDEX(Ansprechpartner!$F$4:$F$80,MATCH($E231,AP_Namen,0)),""))</f>
        <v/>
      </c>
      <c r="G231" t="str">
        <f>IF($E231="","",IFERROR(INDEX(Ansprechpartner!$C$4:$C$80,MATCH($E231,AP_Namen,0)),""))</f>
        <v/>
      </c>
    </row>
    <row r="232" spans="3:7" ht="15" customHeight="1">
      <c r="C232" t="str">
        <f t="shared" si="3"/>
        <v/>
      </c>
      <c r="F232" t="str">
        <f>IF($E232="","",IFERROR(INDEX(Ansprechpartner!$F$4:$F$80,MATCH($E232,AP_Namen,0)),""))</f>
        <v/>
      </c>
      <c r="G232" t="str">
        <f>IF($E232="","",IFERROR(INDEX(Ansprechpartner!$C$4:$C$80,MATCH($E232,AP_Namen,0)),""))</f>
        <v/>
      </c>
    </row>
    <row r="233" spans="3:7" ht="15" customHeight="1">
      <c r="C233" t="str">
        <f t="shared" si="3"/>
        <v/>
      </c>
      <c r="F233" t="str">
        <f>IF($E233="","",IFERROR(INDEX(Ansprechpartner!$F$4:$F$80,MATCH($E233,AP_Namen,0)),""))</f>
        <v/>
      </c>
      <c r="G233" t="str">
        <f>IF($E233="","",IFERROR(INDEX(Ansprechpartner!$C$4:$C$80,MATCH($E233,AP_Namen,0)),""))</f>
        <v/>
      </c>
    </row>
    <row r="234" spans="3:7" ht="15" customHeight="1">
      <c r="C234" t="str">
        <f t="shared" si="3"/>
        <v/>
      </c>
      <c r="F234" t="str">
        <f>IF($E234="","",IFERROR(INDEX(Ansprechpartner!$F$4:$F$80,MATCH($E234,AP_Namen,0)),""))</f>
        <v/>
      </c>
      <c r="G234" t="str">
        <f>IF($E234="","",IFERROR(INDEX(Ansprechpartner!$C$4:$C$80,MATCH($E234,AP_Namen,0)),""))</f>
        <v/>
      </c>
    </row>
    <row r="235" spans="3:7" ht="15" customHeight="1">
      <c r="C235" t="str">
        <f t="shared" si="3"/>
        <v/>
      </c>
      <c r="F235" t="str">
        <f>IF($E235="","",IFERROR(INDEX(Ansprechpartner!$F$4:$F$80,MATCH($E235,AP_Namen,0)),""))</f>
        <v/>
      </c>
      <c r="G235" t="str">
        <f>IF($E235="","",IFERROR(INDEX(Ansprechpartner!$C$4:$C$80,MATCH($E235,AP_Namen,0)),""))</f>
        <v/>
      </c>
    </row>
    <row r="236" spans="3:7" ht="15" customHeight="1">
      <c r="C236" t="str">
        <f t="shared" si="3"/>
        <v/>
      </c>
      <c r="F236" t="str">
        <f>IF($E236="","",IFERROR(INDEX(Ansprechpartner!$F$4:$F$80,MATCH($E236,AP_Namen,0)),""))</f>
        <v/>
      </c>
      <c r="G236" t="str">
        <f>IF($E236="","",IFERROR(INDEX(Ansprechpartner!$C$4:$C$80,MATCH($E236,AP_Namen,0)),""))</f>
        <v/>
      </c>
    </row>
    <row r="237" spans="3:7" ht="15" customHeight="1">
      <c r="C237" t="str">
        <f t="shared" si="3"/>
        <v/>
      </c>
      <c r="F237" t="str">
        <f>IF($E237="","",IFERROR(INDEX(Ansprechpartner!$F$4:$F$80,MATCH($E237,AP_Namen,0)),""))</f>
        <v/>
      </c>
      <c r="G237" t="str">
        <f>IF($E237="","",IFERROR(INDEX(Ansprechpartner!$C$4:$C$80,MATCH($E237,AP_Namen,0)),""))</f>
        <v/>
      </c>
    </row>
    <row r="238" spans="3:7" ht="15" customHeight="1">
      <c r="C238" t="str">
        <f t="shared" si="3"/>
        <v/>
      </c>
      <c r="F238" t="str">
        <f>IF($E238="","",IFERROR(INDEX(Ansprechpartner!$F$4:$F$80,MATCH($E238,AP_Namen,0)),""))</f>
        <v/>
      </c>
      <c r="G238" t="str">
        <f>IF($E238="","",IFERROR(INDEX(Ansprechpartner!$C$4:$C$80,MATCH($E238,AP_Namen,0)),""))</f>
        <v/>
      </c>
    </row>
    <row r="239" spans="3:7" ht="15" customHeight="1">
      <c r="C239" t="str">
        <f t="shared" si="3"/>
        <v/>
      </c>
      <c r="F239" t="str">
        <f>IF($E239="","",IFERROR(INDEX(Ansprechpartner!$F$4:$F$80,MATCH($E239,AP_Namen,0)),""))</f>
        <v/>
      </c>
      <c r="G239" t="str">
        <f>IF($E239="","",IFERROR(INDEX(Ansprechpartner!$C$4:$C$80,MATCH($E239,AP_Namen,0)),""))</f>
        <v/>
      </c>
    </row>
    <row r="240" spans="3:7" ht="15" customHeight="1">
      <c r="C240" t="str">
        <f t="shared" si="3"/>
        <v/>
      </c>
      <c r="F240" t="str">
        <f>IF($E240="","",IFERROR(INDEX(Ansprechpartner!$F$4:$F$80,MATCH($E240,AP_Namen,0)),""))</f>
        <v/>
      </c>
      <c r="G240" t="str">
        <f>IF($E240="","",IFERROR(INDEX(Ansprechpartner!$C$4:$C$80,MATCH($E240,AP_Namen,0)),""))</f>
        <v/>
      </c>
    </row>
    <row r="241" spans="3:7" ht="15" customHeight="1">
      <c r="C241" t="str">
        <f t="shared" si="3"/>
        <v/>
      </c>
      <c r="F241" t="str">
        <f>IF($E241="","",IFERROR(INDEX(Ansprechpartner!$F$4:$F$80,MATCH($E241,AP_Namen,0)),""))</f>
        <v/>
      </c>
      <c r="G241" t="str">
        <f>IF($E241="","",IFERROR(INDEX(Ansprechpartner!$C$4:$C$80,MATCH($E241,AP_Namen,0)),""))</f>
        <v/>
      </c>
    </row>
    <row r="242" spans="3:7" ht="15" customHeight="1">
      <c r="C242" t="str">
        <f t="shared" si="3"/>
        <v/>
      </c>
      <c r="F242" t="str">
        <f>IF($E242="","",IFERROR(INDEX(Ansprechpartner!$F$4:$F$80,MATCH($E242,AP_Namen,0)),""))</f>
        <v/>
      </c>
      <c r="G242" t="str">
        <f>IF($E242="","",IFERROR(INDEX(Ansprechpartner!$C$4:$C$80,MATCH($E242,AP_Namen,0)),""))</f>
        <v/>
      </c>
    </row>
    <row r="243" spans="3:7" ht="15" customHeight="1">
      <c r="C243" t="str">
        <f t="shared" si="3"/>
        <v/>
      </c>
      <c r="F243" t="str">
        <f>IF($E243="","",IFERROR(INDEX(Ansprechpartner!$F$4:$F$80,MATCH($E243,AP_Namen,0)),""))</f>
        <v/>
      </c>
      <c r="G243" t="str">
        <f>IF($E243="","",IFERROR(INDEX(Ansprechpartner!$C$4:$C$80,MATCH($E243,AP_Namen,0)),""))</f>
        <v/>
      </c>
    </row>
    <row r="244" spans="3:7" ht="15" customHeight="1">
      <c r="C244" t="str">
        <f t="shared" si="3"/>
        <v/>
      </c>
      <c r="F244" t="str">
        <f>IF($E244="","",IFERROR(INDEX(Ansprechpartner!$F$4:$F$80,MATCH($E244,AP_Namen,0)),""))</f>
        <v/>
      </c>
      <c r="G244" t="str">
        <f>IF($E244="","",IFERROR(INDEX(Ansprechpartner!$C$4:$C$80,MATCH($E244,AP_Namen,0)),""))</f>
        <v/>
      </c>
    </row>
    <row r="245" spans="3:7" ht="15" customHeight="1">
      <c r="C245" t="str">
        <f t="shared" si="3"/>
        <v/>
      </c>
      <c r="F245" t="str">
        <f>IF($E245="","",IFERROR(INDEX(Ansprechpartner!$F$4:$F$80,MATCH($E245,AP_Namen,0)),""))</f>
        <v/>
      </c>
      <c r="G245" t="str">
        <f>IF($E245="","",IFERROR(INDEX(Ansprechpartner!$C$4:$C$80,MATCH($E245,AP_Namen,0)),""))</f>
        <v/>
      </c>
    </row>
    <row r="246" spans="3:7" ht="15" customHeight="1">
      <c r="C246" t="str">
        <f t="shared" si="3"/>
        <v/>
      </c>
      <c r="F246" t="str">
        <f>IF($E246="","",IFERROR(INDEX(Ansprechpartner!$F$4:$F$80,MATCH($E246,AP_Namen,0)),""))</f>
        <v/>
      </c>
      <c r="G246" t="str">
        <f>IF($E246="","",IFERROR(INDEX(Ansprechpartner!$C$4:$C$80,MATCH($E246,AP_Namen,0)),""))</f>
        <v/>
      </c>
    </row>
    <row r="247" spans="3:7" ht="15" customHeight="1">
      <c r="C247" t="str">
        <f t="shared" si="3"/>
        <v/>
      </c>
      <c r="F247" t="str">
        <f>IF($E247="","",IFERROR(INDEX(Ansprechpartner!$F$4:$F$80,MATCH($E247,AP_Namen,0)),""))</f>
        <v/>
      </c>
      <c r="G247" t="str">
        <f>IF($E247="","",IFERROR(INDEX(Ansprechpartner!$C$4:$C$80,MATCH($E247,AP_Namen,0)),""))</f>
        <v/>
      </c>
    </row>
    <row r="248" spans="3:7" ht="15" customHeight="1">
      <c r="C248" t="str">
        <f t="shared" si="3"/>
        <v/>
      </c>
      <c r="F248" t="str">
        <f>IF($E248="","",IFERROR(INDEX(Ansprechpartner!$F$4:$F$80,MATCH($E248,AP_Namen,0)),""))</f>
        <v/>
      </c>
      <c r="G248" t="str">
        <f>IF($E248="","",IFERROR(INDEX(Ansprechpartner!$C$4:$C$80,MATCH($E248,AP_Namen,0)),""))</f>
        <v/>
      </c>
    </row>
    <row r="249" spans="3:7" ht="15" customHeight="1">
      <c r="C249" t="str">
        <f t="shared" si="3"/>
        <v/>
      </c>
      <c r="F249" t="str">
        <f>IF($E249="","",IFERROR(INDEX(Ansprechpartner!$F$4:$F$80,MATCH($E249,AP_Namen,0)),""))</f>
        <v/>
      </c>
      <c r="G249" t="str">
        <f>IF($E249="","",IFERROR(INDEX(Ansprechpartner!$C$4:$C$80,MATCH($E249,AP_Namen,0)),""))</f>
        <v/>
      </c>
    </row>
    <row r="250" spans="3:7" ht="15" customHeight="1">
      <c r="C250" t="str">
        <f t="shared" si="3"/>
        <v/>
      </c>
      <c r="F250" t="str">
        <f>IF($E250="","",IFERROR(INDEX(Ansprechpartner!$F$4:$F$80,MATCH($E250,AP_Namen,0)),""))</f>
        <v/>
      </c>
      <c r="G250" t="str">
        <f>IF($E250="","",IFERROR(INDEX(Ansprechpartner!$C$4:$C$80,MATCH($E250,AP_Namen,0)),""))</f>
        <v/>
      </c>
    </row>
    <row r="251" spans="3:7" ht="15" customHeight="1">
      <c r="C251" t="str">
        <f t="shared" si="3"/>
        <v/>
      </c>
      <c r="F251" t="str">
        <f>IF($E251="","",IFERROR(INDEX(Ansprechpartner!$F$4:$F$80,MATCH($E251,AP_Namen,0)),""))</f>
        <v/>
      </c>
      <c r="G251" t="str">
        <f>IF($E251="","",IFERROR(INDEX(Ansprechpartner!$C$4:$C$80,MATCH($E251,AP_Namen,0)),""))</f>
        <v/>
      </c>
    </row>
    <row r="252" spans="3:7" ht="15" customHeight="1">
      <c r="C252" t="str">
        <f t="shared" si="3"/>
        <v/>
      </c>
      <c r="F252" t="str">
        <f>IF($E252="","",IFERROR(INDEX(Ansprechpartner!$F$4:$F$80,MATCH($E252,AP_Namen,0)),""))</f>
        <v/>
      </c>
      <c r="G252" t="str">
        <f>IF($E252="","",IFERROR(INDEX(Ansprechpartner!$C$4:$C$80,MATCH($E252,AP_Namen,0)),""))</f>
        <v/>
      </c>
    </row>
    <row r="253" spans="3:7" ht="15" customHeight="1">
      <c r="C253" t="str">
        <f t="shared" si="3"/>
        <v/>
      </c>
      <c r="F253" t="str">
        <f>IF($E253="","",IFERROR(INDEX(Ansprechpartner!$F$4:$F$80,MATCH($E253,AP_Namen,0)),""))</f>
        <v/>
      </c>
      <c r="G253" t="str">
        <f>IF($E253="","",IFERROR(INDEX(Ansprechpartner!$C$4:$C$80,MATCH($E253,AP_Namen,0)),""))</f>
        <v/>
      </c>
    </row>
    <row r="254" spans="3:7" ht="15" customHeight="1">
      <c r="C254" t="str">
        <f t="shared" si="3"/>
        <v/>
      </c>
      <c r="F254" t="str">
        <f>IF($E254="","",IFERROR(INDEX(Ansprechpartner!$F$4:$F$80,MATCH($E254,AP_Namen,0)),""))</f>
        <v/>
      </c>
      <c r="G254" t="str">
        <f>IF($E254="","",IFERROR(INDEX(Ansprechpartner!$C$4:$C$80,MATCH($E254,AP_Namen,0)),""))</f>
        <v/>
      </c>
    </row>
    <row r="255" spans="3:7" ht="15" customHeight="1">
      <c r="C255" t="str">
        <f t="shared" si="3"/>
        <v/>
      </c>
      <c r="F255" t="str">
        <f>IF($E255="","",IFERROR(INDEX(Ansprechpartner!$F$4:$F$80,MATCH($E255,AP_Namen,0)),""))</f>
        <v/>
      </c>
      <c r="G255" t="str">
        <f>IF($E255="","",IFERROR(INDEX(Ansprechpartner!$C$4:$C$80,MATCH($E255,AP_Namen,0)),""))</f>
        <v/>
      </c>
    </row>
    <row r="256" spans="3:7" ht="15" customHeight="1">
      <c r="C256" t="str">
        <f t="shared" si="3"/>
        <v/>
      </c>
      <c r="F256" t="str">
        <f>IF($E256="","",IFERROR(INDEX(Ansprechpartner!$F$4:$F$80,MATCH($E256,AP_Namen,0)),""))</f>
        <v/>
      </c>
      <c r="G256" t="str">
        <f>IF($E256="","",IFERROR(INDEX(Ansprechpartner!$C$4:$C$80,MATCH($E256,AP_Namen,0)),""))</f>
        <v/>
      </c>
    </row>
    <row r="257" spans="3:7" ht="15" customHeight="1">
      <c r="C257" t="str">
        <f t="shared" si="3"/>
        <v/>
      </c>
      <c r="F257" t="str">
        <f>IF($E257="","",IFERROR(INDEX(Ansprechpartner!$F$4:$F$80,MATCH($E257,AP_Namen,0)),""))</f>
        <v/>
      </c>
      <c r="G257" t="str">
        <f>IF($E257="","",IFERROR(INDEX(Ansprechpartner!$C$4:$C$80,MATCH($E257,AP_Namen,0)),""))</f>
        <v/>
      </c>
    </row>
    <row r="258" spans="3:7" ht="15" customHeight="1">
      <c r="C258" t="str">
        <f t="shared" si="3"/>
        <v/>
      </c>
      <c r="F258" t="str">
        <f>IF($E258="","",IFERROR(INDEX(Ansprechpartner!$F$4:$F$80,MATCH($E258,AP_Namen,0)),""))</f>
        <v/>
      </c>
      <c r="G258" t="str">
        <f>IF($E258="","",IFERROR(INDEX(Ansprechpartner!$C$4:$C$80,MATCH($E258,AP_Namen,0)),""))</f>
        <v/>
      </c>
    </row>
    <row r="259" spans="3:7" ht="15" customHeight="1">
      <c r="C259" t="str">
        <f t="shared" si="3"/>
        <v/>
      </c>
      <c r="F259" t="str">
        <f>IF($E259="","",IFERROR(INDEX(Ansprechpartner!$F$4:$F$80,MATCH($E259,AP_Namen,0)),""))</f>
        <v/>
      </c>
      <c r="G259" t="str">
        <f>IF($E259="","",IFERROR(INDEX(Ansprechpartner!$C$4:$C$80,MATCH($E259,AP_Namen,0)),""))</f>
        <v/>
      </c>
    </row>
    <row r="260" spans="3:7" ht="15" customHeight="1">
      <c r="C260" t="str">
        <f t="shared" si="3"/>
        <v/>
      </c>
      <c r="F260" t="str">
        <f>IF($E260="","",IFERROR(INDEX(Ansprechpartner!$F$4:$F$80,MATCH($E260,AP_Namen,0)),""))</f>
        <v/>
      </c>
      <c r="G260" t="str">
        <f>IF($E260="","",IFERROR(INDEX(Ansprechpartner!$C$4:$C$80,MATCH($E260,AP_Namen,0)),""))</f>
        <v/>
      </c>
    </row>
    <row r="261" spans="3:7" ht="15" customHeight="1">
      <c r="C261" t="str">
        <f t="shared" ref="C261:C300" si="4">IF(B261="","",CHOOSE(WEEKDAY(B261,2),"Montag","Dienstag","Mittwoch","Donnerstag","Freitag","Samstag","Sonntag"))</f>
        <v/>
      </c>
      <c r="F261" t="str">
        <f>IF($E261="","",IFERROR(INDEX(Ansprechpartner!$F$4:$F$80,MATCH($E261,AP_Namen,0)),""))</f>
        <v/>
      </c>
      <c r="G261" t="str">
        <f>IF($E261="","",IFERROR(INDEX(Ansprechpartner!$C$4:$C$80,MATCH($E261,AP_Namen,0)),""))</f>
        <v/>
      </c>
    </row>
    <row r="262" spans="3:7" ht="15" customHeight="1">
      <c r="C262" t="str">
        <f t="shared" si="4"/>
        <v/>
      </c>
      <c r="F262" t="str">
        <f>IF($E262="","",IFERROR(INDEX(Ansprechpartner!$F$4:$F$80,MATCH($E262,AP_Namen,0)),""))</f>
        <v/>
      </c>
      <c r="G262" t="str">
        <f>IF($E262="","",IFERROR(INDEX(Ansprechpartner!$C$4:$C$80,MATCH($E262,AP_Namen,0)),""))</f>
        <v/>
      </c>
    </row>
    <row r="263" spans="3:7" ht="15" customHeight="1">
      <c r="C263" t="str">
        <f t="shared" si="4"/>
        <v/>
      </c>
      <c r="F263" t="str">
        <f>IF($E263="","",IFERROR(INDEX(Ansprechpartner!$F$4:$F$80,MATCH($E263,AP_Namen,0)),""))</f>
        <v/>
      </c>
      <c r="G263" t="str">
        <f>IF($E263="","",IFERROR(INDEX(Ansprechpartner!$C$4:$C$80,MATCH($E263,AP_Namen,0)),""))</f>
        <v/>
      </c>
    </row>
    <row r="264" spans="3:7" ht="15" customHeight="1">
      <c r="C264" t="str">
        <f t="shared" si="4"/>
        <v/>
      </c>
      <c r="F264" t="str">
        <f>IF($E264="","",IFERROR(INDEX(Ansprechpartner!$F$4:$F$80,MATCH($E264,AP_Namen,0)),""))</f>
        <v/>
      </c>
      <c r="G264" t="str">
        <f>IF($E264="","",IFERROR(INDEX(Ansprechpartner!$C$4:$C$80,MATCH($E264,AP_Namen,0)),""))</f>
        <v/>
      </c>
    </row>
    <row r="265" spans="3:7" ht="15" customHeight="1">
      <c r="C265" t="str">
        <f t="shared" si="4"/>
        <v/>
      </c>
      <c r="F265" t="str">
        <f>IF($E265="","",IFERROR(INDEX(Ansprechpartner!$F$4:$F$80,MATCH($E265,AP_Namen,0)),""))</f>
        <v/>
      </c>
      <c r="G265" t="str">
        <f>IF($E265="","",IFERROR(INDEX(Ansprechpartner!$C$4:$C$80,MATCH($E265,AP_Namen,0)),""))</f>
        <v/>
      </c>
    </row>
    <row r="266" spans="3:7" ht="15" customHeight="1">
      <c r="C266" t="str">
        <f t="shared" si="4"/>
        <v/>
      </c>
      <c r="F266" t="str">
        <f>IF($E266="","",IFERROR(INDEX(Ansprechpartner!$F$4:$F$80,MATCH($E266,AP_Namen,0)),""))</f>
        <v/>
      </c>
      <c r="G266" t="str">
        <f>IF($E266="","",IFERROR(INDEX(Ansprechpartner!$C$4:$C$80,MATCH($E266,AP_Namen,0)),""))</f>
        <v/>
      </c>
    </row>
    <row r="267" spans="3:7" ht="15" customHeight="1">
      <c r="C267" t="str">
        <f t="shared" si="4"/>
        <v/>
      </c>
      <c r="F267" t="str">
        <f>IF($E267="","",IFERROR(INDEX(Ansprechpartner!$F$4:$F$80,MATCH($E267,AP_Namen,0)),""))</f>
        <v/>
      </c>
      <c r="G267" t="str">
        <f>IF($E267="","",IFERROR(INDEX(Ansprechpartner!$C$4:$C$80,MATCH($E267,AP_Namen,0)),""))</f>
        <v/>
      </c>
    </row>
    <row r="268" spans="3:7" ht="15" customHeight="1">
      <c r="C268" t="str">
        <f t="shared" si="4"/>
        <v/>
      </c>
      <c r="F268" t="str">
        <f>IF($E268="","",IFERROR(INDEX(Ansprechpartner!$F$4:$F$80,MATCH($E268,AP_Namen,0)),""))</f>
        <v/>
      </c>
      <c r="G268" t="str">
        <f>IF($E268="","",IFERROR(INDEX(Ansprechpartner!$C$4:$C$80,MATCH($E268,AP_Namen,0)),""))</f>
        <v/>
      </c>
    </row>
    <row r="269" spans="3:7" ht="15" customHeight="1">
      <c r="C269" t="str">
        <f t="shared" si="4"/>
        <v/>
      </c>
      <c r="F269" t="str">
        <f>IF($E269="","",IFERROR(INDEX(Ansprechpartner!$F$4:$F$80,MATCH($E269,AP_Namen,0)),""))</f>
        <v/>
      </c>
      <c r="G269" t="str">
        <f>IF($E269="","",IFERROR(INDEX(Ansprechpartner!$C$4:$C$80,MATCH($E269,AP_Namen,0)),""))</f>
        <v/>
      </c>
    </row>
    <row r="270" spans="3:7" ht="15" customHeight="1">
      <c r="C270" t="str">
        <f t="shared" si="4"/>
        <v/>
      </c>
      <c r="F270" t="str">
        <f>IF($E270="","",IFERROR(INDEX(Ansprechpartner!$F$4:$F$80,MATCH($E270,AP_Namen,0)),""))</f>
        <v/>
      </c>
      <c r="G270" t="str">
        <f>IF($E270="","",IFERROR(INDEX(Ansprechpartner!$C$4:$C$80,MATCH($E270,AP_Namen,0)),""))</f>
        <v/>
      </c>
    </row>
    <row r="271" spans="3:7" ht="15" customHeight="1">
      <c r="C271" t="str">
        <f t="shared" si="4"/>
        <v/>
      </c>
      <c r="F271" t="str">
        <f>IF($E271="","",IFERROR(INDEX(Ansprechpartner!$F$4:$F$80,MATCH($E271,AP_Namen,0)),""))</f>
        <v/>
      </c>
      <c r="G271" t="str">
        <f>IF($E271="","",IFERROR(INDEX(Ansprechpartner!$C$4:$C$80,MATCH($E271,AP_Namen,0)),""))</f>
        <v/>
      </c>
    </row>
    <row r="272" spans="3:7" ht="15" customHeight="1">
      <c r="C272" t="str">
        <f t="shared" si="4"/>
        <v/>
      </c>
      <c r="F272" t="str">
        <f>IF($E272="","",IFERROR(INDEX(Ansprechpartner!$F$4:$F$80,MATCH($E272,AP_Namen,0)),""))</f>
        <v/>
      </c>
      <c r="G272" t="str">
        <f>IF($E272="","",IFERROR(INDEX(Ansprechpartner!$C$4:$C$80,MATCH($E272,AP_Namen,0)),""))</f>
        <v/>
      </c>
    </row>
    <row r="273" spans="3:7" ht="15" customHeight="1">
      <c r="C273" t="str">
        <f t="shared" si="4"/>
        <v/>
      </c>
      <c r="F273" t="str">
        <f>IF($E273="","",IFERROR(INDEX(Ansprechpartner!$F$4:$F$80,MATCH($E273,AP_Namen,0)),""))</f>
        <v/>
      </c>
      <c r="G273" t="str">
        <f>IF($E273="","",IFERROR(INDEX(Ansprechpartner!$C$4:$C$80,MATCH($E273,AP_Namen,0)),""))</f>
        <v/>
      </c>
    </row>
    <row r="274" spans="3:7" ht="15" customHeight="1">
      <c r="C274" t="str">
        <f t="shared" si="4"/>
        <v/>
      </c>
      <c r="F274" t="str">
        <f>IF($E274="","",IFERROR(INDEX(Ansprechpartner!$F$4:$F$80,MATCH($E274,AP_Namen,0)),""))</f>
        <v/>
      </c>
      <c r="G274" t="str">
        <f>IF($E274="","",IFERROR(INDEX(Ansprechpartner!$C$4:$C$80,MATCH($E274,AP_Namen,0)),""))</f>
        <v/>
      </c>
    </row>
    <row r="275" spans="3:7" ht="15" customHeight="1">
      <c r="C275" t="str">
        <f t="shared" si="4"/>
        <v/>
      </c>
      <c r="F275" t="str">
        <f>IF($E275="","",IFERROR(INDEX(Ansprechpartner!$F$4:$F$80,MATCH($E275,AP_Namen,0)),""))</f>
        <v/>
      </c>
      <c r="G275" t="str">
        <f>IF($E275="","",IFERROR(INDEX(Ansprechpartner!$C$4:$C$80,MATCH($E275,AP_Namen,0)),""))</f>
        <v/>
      </c>
    </row>
    <row r="276" spans="3:7" ht="15" customHeight="1">
      <c r="C276" t="str">
        <f t="shared" si="4"/>
        <v/>
      </c>
      <c r="F276" t="str">
        <f>IF($E276="","",IFERROR(INDEX(Ansprechpartner!$F$4:$F$80,MATCH($E276,AP_Namen,0)),""))</f>
        <v/>
      </c>
      <c r="G276" t="str">
        <f>IF($E276="","",IFERROR(INDEX(Ansprechpartner!$C$4:$C$80,MATCH($E276,AP_Namen,0)),""))</f>
        <v/>
      </c>
    </row>
    <row r="277" spans="3:7" ht="15" customHeight="1">
      <c r="C277" t="str">
        <f t="shared" si="4"/>
        <v/>
      </c>
      <c r="F277" t="str">
        <f>IF($E277="","",IFERROR(INDEX(Ansprechpartner!$F$4:$F$80,MATCH($E277,AP_Namen,0)),""))</f>
        <v/>
      </c>
      <c r="G277" t="str">
        <f>IF($E277="","",IFERROR(INDEX(Ansprechpartner!$C$4:$C$80,MATCH($E277,AP_Namen,0)),""))</f>
        <v/>
      </c>
    </row>
    <row r="278" spans="3:7" ht="15" customHeight="1">
      <c r="C278" t="str">
        <f t="shared" si="4"/>
        <v/>
      </c>
      <c r="F278" t="str">
        <f>IF($E278="","",IFERROR(INDEX(Ansprechpartner!$F$4:$F$80,MATCH($E278,AP_Namen,0)),""))</f>
        <v/>
      </c>
      <c r="G278" t="str">
        <f>IF($E278="","",IFERROR(INDEX(Ansprechpartner!$C$4:$C$80,MATCH($E278,AP_Namen,0)),""))</f>
        <v/>
      </c>
    </row>
    <row r="279" spans="3:7" ht="15" customHeight="1">
      <c r="C279" t="str">
        <f t="shared" si="4"/>
        <v/>
      </c>
      <c r="F279" t="str">
        <f>IF($E279="","",IFERROR(INDEX(Ansprechpartner!$F$4:$F$80,MATCH($E279,AP_Namen,0)),""))</f>
        <v/>
      </c>
      <c r="G279" t="str">
        <f>IF($E279="","",IFERROR(INDEX(Ansprechpartner!$C$4:$C$80,MATCH($E279,AP_Namen,0)),""))</f>
        <v/>
      </c>
    </row>
    <row r="280" spans="3:7" ht="15" customHeight="1">
      <c r="C280" t="str">
        <f t="shared" si="4"/>
        <v/>
      </c>
      <c r="F280" t="str">
        <f>IF($E280="","",IFERROR(INDEX(Ansprechpartner!$F$4:$F$80,MATCH($E280,AP_Namen,0)),""))</f>
        <v/>
      </c>
      <c r="G280" t="str">
        <f>IF($E280="","",IFERROR(INDEX(Ansprechpartner!$C$4:$C$80,MATCH($E280,AP_Namen,0)),""))</f>
        <v/>
      </c>
    </row>
    <row r="281" spans="3:7" ht="15" customHeight="1">
      <c r="C281" t="str">
        <f t="shared" si="4"/>
        <v/>
      </c>
      <c r="F281" t="str">
        <f>IF($E281="","",IFERROR(INDEX(Ansprechpartner!$F$4:$F$80,MATCH($E281,AP_Namen,0)),""))</f>
        <v/>
      </c>
      <c r="G281" t="str">
        <f>IF($E281="","",IFERROR(INDEX(Ansprechpartner!$C$4:$C$80,MATCH($E281,AP_Namen,0)),""))</f>
        <v/>
      </c>
    </row>
    <row r="282" spans="3:7" ht="15" customHeight="1">
      <c r="C282" t="str">
        <f t="shared" si="4"/>
        <v/>
      </c>
      <c r="F282" t="str">
        <f>IF($E282="","",IFERROR(INDEX(Ansprechpartner!$F$4:$F$80,MATCH($E282,AP_Namen,0)),""))</f>
        <v/>
      </c>
      <c r="G282" t="str">
        <f>IF($E282="","",IFERROR(INDEX(Ansprechpartner!$C$4:$C$80,MATCH($E282,AP_Namen,0)),""))</f>
        <v/>
      </c>
    </row>
    <row r="283" spans="3:7" ht="15" customHeight="1">
      <c r="C283" t="str">
        <f t="shared" si="4"/>
        <v/>
      </c>
      <c r="F283" t="str">
        <f>IF($E283="","",IFERROR(INDEX(Ansprechpartner!$F$4:$F$80,MATCH($E283,AP_Namen,0)),""))</f>
        <v/>
      </c>
      <c r="G283" t="str">
        <f>IF($E283="","",IFERROR(INDEX(Ansprechpartner!$C$4:$C$80,MATCH($E283,AP_Namen,0)),""))</f>
        <v/>
      </c>
    </row>
    <row r="284" spans="3:7" ht="15" customHeight="1">
      <c r="C284" t="str">
        <f t="shared" si="4"/>
        <v/>
      </c>
      <c r="F284" t="str">
        <f>IF($E284="","",IFERROR(INDEX(Ansprechpartner!$F$4:$F$80,MATCH($E284,AP_Namen,0)),""))</f>
        <v/>
      </c>
      <c r="G284" t="str">
        <f>IF($E284="","",IFERROR(INDEX(Ansprechpartner!$C$4:$C$80,MATCH($E284,AP_Namen,0)),""))</f>
        <v/>
      </c>
    </row>
    <row r="285" spans="3:7" ht="15" customHeight="1">
      <c r="C285" t="str">
        <f t="shared" si="4"/>
        <v/>
      </c>
      <c r="F285" t="str">
        <f>IF($E285="","",IFERROR(INDEX(Ansprechpartner!$F$4:$F$80,MATCH($E285,AP_Namen,0)),""))</f>
        <v/>
      </c>
      <c r="G285" t="str">
        <f>IF($E285="","",IFERROR(INDEX(Ansprechpartner!$C$4:$C$80,MATCH($E285,AP_Namen,0)),""))</f>
        <v/>
      </c>
    </row>
    <row r="286" spans="3:7" ht="15" customHeight="1">
      <c r="C286" t="str">
        <f t="shared" si="4"/>
        <v/>
      </c>
      <c r="F286" t="str">
        <f>IF($E286="","",IFERROR(INDEX(Ansprechpartner!$F$4:$F$80,MATCH($E286,AP_Namen,0)),""))</f>
        <v/>
      </c>
      <c r="G286" t="str">
        <f>IF($E286="","",IFERROR(INDEX(Ansprechpartner!$C$4:$C$80,MATCH($E286,AP_Namen,0)),""))</f>
        <v/>
      </c>
    </row>
    <row r="287" spans="3:7" ht="15" customHeight="1">
      <c r="C287" t="str">
        <f t="shared" si="4"/>
        <v/>
      </c>
      <c r="F287" t="str">
        <f>IF($E287="","",IFERROR(INDEX(Ansprechpartner!$F$4:$F$80,MATCH($E287,AP_Namen,0)),""))</f>
        <v/>
      </c>
      <c r="G287" t="str">
        <f>IF($E287="","",IFERROR(INDEX(Ansprechpartner!$C$4:$C$80,MATCH($E287,AP_Namen,0)),""))</f>
        <v/>
      </c>
    </row>
    <row r="288" spans="3:7" ht="15" customHeight="1">
      <c r="C288" t="str">
        <f t="shared" si="4"/>
        <v/>
      </c>
      <c r="F288" t="str">
        <f>IF($E288="","",IFERROR(INDEX(Ansprechpartner!$F$4:$F$80,MATCH($E288,AP_Namen,0)),""))</f>
        <v/>
      </c>
      <c r="G288" t="str">
        <f>IF($E288="","",IFERROR(INDEX(Ansprechpartner!$C$4:$C$80,MATCH($E288,AP_Namen,0)),""))</f>
        <v/>
      </c>
    </row>
    <row r="289" spans="3:7" ht="15" customHeight="1">
      <c r="C289" t="str">
        <f t="shared" si="4"/>
        <v/>
      </c>
      <c r="F289" t="str">
        <f>IF($E289="","",IFERROR(INDEX(Ansprechpartner!$F$4:$F$80,MATCH($E289,AP_Namen,0)),""))</f>
        <v/>
      </c>
      <c r="G289" t="str">
        <f>IF($E289="","",IFERROR(INDEX(Ansprechpartner!$C$4:$C$80,MATCH($E289,AP_Namen,0)),""))</f>
        <v/>
      </c>
    </row>
    <row r="290" spans="3:7" ht="15" customHeight="1">
      <c r="C290" t="str">
        <f t="shared" si="4"/>
        <v/>
      </c>
      <c r="F290" t="str">
        <f>IF($E290="","",IFERROR(INDEX(Ansprechpartner!$F$4:$F$80,MATCH($E290,AP_Namen,0)),""))</f>
        <v/>
      </c>
      <c r="G290" t="str">
        <f>IF($E290="","",IFERROR(INDEX(Ansprechpartner!$C$4:$C$80,MATCH($E290,AP_Namen,0)),""))</f>
        <v/>
      </c>
    </row>
    <row r="291" spans="3:7" ht="15" customHeight="1">
      <c r="C291" t="str">
        <f t="shared" si="4"/>
        <v/>
      </c>
      <c r="F291" t="str">
        <f>IF($E291="","",IFERROR(INDEX(Ansprechpartner!$F$4:$F$80,MATCH($E291,AP_Namen,0)),""))</f>
        <v/>
      </c>
      <c r="G291" t="str">
        <f>IF($E291="","",IFERROR(INDEX(Ansprechpartner!$C$4:$C$80,MATCH($E291,AP_Namen,0)),""))</f>
        <v/>
      </c>
    </row>
    <row r="292" spans="3:7" ht="15" customHeight="1">
      <c r="C292" t="str">
        <f t="shared" si="4"/>
        <v/>
      </c>
      <c r="F292" t="str">
        <f>IF($E292="","",IFERROR(INDEX(Ansprechpartner!$F$4:$F$80,MATCH($E292,AP_Namen,0)),""))</f>
        <v/>
      </c>
      <c r="G292" t="str">
        <f>IF($E292="","",IFERROR(INDEX(Ansprechpartner!$C$4:$C$80,MATCH($E292,AP_Namen,0)),""))</f>
        <v/>
      </c>
    </row>
    <row r="293" spans="3:7" ht="15" customHeight="1">
      <c r="C293" t="str">
        <f t="shared" si="4"/>
        <v/>
      </c>
      <c r="F293" t="str">
        <f>IF($E293="","",IFERROR(INDEX(Ansprechpartner!$F$4:$F$80,MATCH($E293,AP_Namen,0)),""))</f>
        <v/>
      </c>
      <c r="G293" t="str">
        <f>IF($E293="","",IFERROR(INDEX(Ansprechpartner!$C$4:$C$80,MATCH($E293,AP_Namen,0)),""))</f>
        <v/>
      </c>
    </row>
    <row r="294" spans="3:7" ht="15" customHeight="1">
      <c r="C294" t="str">
        <f t="shared" si="4"/>
        <v/>
      </c>
      <c r="F294" t="str">
        <f>IF($E294="","",IFERROR(INDEX(Ansprechpartner!$F$4:$F$80,MATCH($E294,AP_Namen,0)),""))</f>
        <v/>
      </c>
      <c r="G294" t="str">
        <f>IF($E294="","",IFERROR(INDEX(Ansprechpartner!$C$4:$C$80,MATCH($E294,AP_Namen,0)),""))</f>
        <v/>
      </c>
    </row>
    <row r="295" spans="3:7" ht="15" customHeight="1">
      <c r="C295" t="str">
        <f t="shared" si="4"/>
        <v/>
      </c>
      <c r="F295" t="str">
        <f>IF($E295="","",IFERROR(INDEX(Ansprechpartner!$F$4:$F$80,MATCH($E295,AP_Namen,0)),""))</f>
        <v/>
      </c>
      <c r="G295" t="str">
        <f>IF($E295="","",IFERROR(INDEX(Ansprechpartner!$C$4:$C$80,MATCH($E295,AP_Namen,0)),""))</f>
        <v/>
      </c>
    </row>
    <row r="296" spans="3:7" ht="15" customHeight="1">
      <c r="C296" t="str">
        <f t="shared" si="4"/>
        <v/>
      </c>
      <c r="F296" t="str">
        <f>IF($E296="","",IFERROR(INDEX(Ansprechpartner!$F$4:$F$80,MATCH($E296,AP_Namen,0)),""))</f>
        <v/>
      </c>
      <c r="G296" t="str">
        <f>IF($E296="","",IFERROR(INDEX(Ansprechpartner!$C$4:$C$80,MATCH($E296,AP_Namen,0)),""))</f>
        <v/>
      </c>
    </row>
    <row r="297" spans="3:7" ht="15" customHeight="1">
      <c r="C297" t="str">
        <f t="shared" si="4"/>
        <v/>
      </c>
      <c r="F297" t="str">
        <f>IF($E297="","",IFERROR(INDEX(Ansprechpartner!$F$4:$F$80,MATCH($E297,AP_Namen,0)),""))</f>
        <v/>
      </c>
      <c r="G297" t="str">
        <f>IF($E297="","",IFERROR(INDEX(Ansprechpartner!$C$4:$C$80,MATCH($E297,AP_Namen,0)),""))</f>
        <v/>
      </c>
    </row>
    <row r="298" spans="3:7" ht="15" customHeight="1">
      <c r="C298" t="str">
        <f t="shared" si="4"/>
        <v/>
      </c>
      <c r="F298" t="str">
        <f>IF($E298="","",IFERROR(INDEX(Ansprechpartner!$F$4:$F$80,MATCH($E298,AP_Namen,0)),""))</f>
        <v/>
      </c>
      <c r="G298" t="str">
        <f>IF($E298="","",IFERROR(INDEX(Ansprechpartner!$C$4:$C$80,MATCH($E298,AP_Namen,0)),""))</f>
        <v/>
      </c>
    </row>
    <row r="299" spans="3:7" ht="15" customHeight="1">
      <c r="C299" t="str">
        <f t="shared" si="4"/>
        <v/>
      </c>
      <c r="F299" t="str">
        <f>IF($E299="","",IFERROR(INDEX(Ansprechpartner!$F$4:$F$80,MATCH($E299,AP_Namen,0)),""))</f>
        <v/>
      </c>
      <c r="G299" t="str">
        <f>IF($E299="","",IFERROR(INDEX(Ansprechpartner!$C$4:$C$80,MATCH($E299,AP_Namen,0)),""))</f>
        <v/>
      </c>
    </row>
    <row r="300" spans="3:7" ht="15" customHeight="1">
      <c r="C300" t="str">
        <f t="shared" si="4"/>
        <v/>
      </c>
      <c r="F300" t="str">
        <f>IF($E300="","",IFERROR(INDEX(Ansprechpartner!$F$4:$F$80,MATCH($E300,AP_Namen,0)),""))</f>
        <v/>
      </c>
      <c r="G300" t="str">
        <f>IF($E300="","",IFERROR(INDEX(Ansprechpartner!$C$4:$C$80,MATCH($E300,AP_Namen,0)),""))</f>
        <v/>
      </c>
    </row>
  </sheetData>
  <autoFilter ref="A4:V30" xr:uid="{00000000-0009-0000-0000-000002000000}"/>
  <mergeCells count="2">
    <mergeCell ref="A3:M3"/>
    <mergeCell ref="N3:V3"/>
  </mergeCells>
  <conditionalFormatting sqref="A5:V300">
    <cfRule type="expression" dxfId="3" priority="2">
      <formula>$U5="Ja"</formula>
    </cfRule>
    <cfRule type="expression" dxfId="2" priority="3">
      <formula>$V5&lt;&gt;""</formula>
    </cfRule>
  </conditionalFormatting>
  <conditionalFormatting sqref="K5:K300">
    <cfRule type="expression" dxfId="1" priority="4">
      <formula>AND($M5&lt;&gt;"",$K5="")</formula>
    </cfRule>
  </conditionalFormatting>
  <conditionalFormatting sqref="L5:L300">
    <cfRule type="expression" dxfId="0" priority="5">
      <formula>AND(ISNUMBER($L5),$L5&gt;1)</formula>
    </cfRule>
  </conditionalFormatting>
  <dataValidations count="7">
    <dataValidation type="list" allowBlank="1" showErrorMessage="1" sqref="V5:V300" xr:uid="{00000000-0002-0000-0200-000000000000}">
      <formula1>"✔"</formula1>
      <formula2>0</formula2>
    </dataValidation>
    <dataValidation type="whole" operator="greaterThanOrEqual" allowBlank="1" showErrorMessage="1" errorTitle="Anzahl Kabel" error="Bitte eine ganze Zahl ≥ 1 eintragen." sqref="L5:L300" xr:uid="{00000000-0002-0000-0200-000001000000}">
      <formula1>1</formula1>
      <formula2>0</formula2>
    </dataValidation>
    <dataValidation type="list" allowBlank="1" sqref="E5:E300" xr:uid="{00000000-0002-0000-0200-000002000000}">
      <formula1>AP_Namen</formula1>
      <formula2>0</formula2>
    </dataValidation>
    <dataValidation type="list" allowBlank="1" sqref="H5:H300" xr:uid="{00000000-0002-0000-0200-000003000000}">
      <formula1>Strecken_BA3</formula1>
      <formula2>0</formula2>
    </dataValidation>
    <dataValidation type="list" allowBlank="1" sqref="Q5:Q300" xr:uid="{00000000-0002-0000-0200-000004000000}">
      <formula1>Gewerke_Liste</formula1>
      <formula2>0</formula2>
    </dataValidation>
    <dataValidation type="list" allowBlank="1" sqref="R5:R300" xr:uid="{00000000-0002-0000-0200-000005000000}">
      <formula1>Kabeltypen_Liste</formula1>
      <formula2>0</formula2>
    </dataValidation>
    <dataValidation type="list" allowBlank="1" showErrorMessage="1" sqref="U5:U300" xr:uid="{00000000-0002-0000-0200-000006000000}">
      <formula1>"Ja,Nein"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4"/>
  <sheetViews>
    <sheetView zoomScaleNormal="100" workbookViewId="0">
      <pane ySplit="3" topLeftCell="A4" activePane="bottomLeft" state="frozen"/>
      <selection pane="bottomLeft" activeCell="B23" sqref="B23"/>
    </sheetView>
  </sheetViews>
  <sheetFormatPr defaultColWidth="8.5703125" defaultRowHeight="15"/>
  <cols>
    <col min="1" max="1" width="18" customWidth="1"/>
    <col min="2" max="2" width="14" customWidth="1"/>
    <col min="3" max="3" width="18" customWidth="1"/>
    <col min="4" max="4" width="8" customWidth="1"/>
    <col min="5" max="5" width="24" customWidth="1"/>
    <col min="6" max="6" width="14" customWidth="1"/>
  </cols>
  <sheetData>
    <row r="1" spans="1:6" ht="15.75" customHeight="1">
      <c r="A1" s="14" t="s">
        <v>370</v>
      </c>
    </row>
    <row r="2" spans="1:6" ht="15" customHeight="1">
      <c r="A2" s="15" t="s">
        <v>371</v>
      </c>
    </row>
    <row r="3" spans="1:6" ht="15" customHeight="1">
      <c r="A3" s="16" t="s">
        <v>372</v>
      </c>
      <c r="B3" s="16" t="s">
        <v>45</v>
      </c>
      <c r="C3" s="16" t="s">
        <v>105</v>
      </c>
      <c r="D3" s="16" t="s">
        <v>373</v>
      </c>
      <c r="E3" s="16" t="s">
        <v>374</v>
      </c>
      <c r="F3" s="16" t="s">
        <v>375</v>
      </c>
    </row>
    <row r="4" spans="1:6" ht="15" customHeight="1">
      <c r="A4" s="17" t="s">
        <v>120</v>
      </c>
      <c r="B4" s="17"/>
      <c r="C4" s="18" t="s">
        <v>122</v>
      </c>
      <c r="D4" s="19" t="s">
        <v>15</v>
      </c>
      <c r="E4" s="17" t="str">
        <f t="shared" ref="E4:E35" si="0">IF($A4="","",TRIM($A4&amp;IF($B4&lt;&gt;"",", "&amp;$B4,"")))</f>
        <v>Kräner</v>
      </c>
      <c r="F4" s="17" t="s">
        <v>121</v>
      </c>
    </row>
    <row r="5" spans="1:6" ht="15" customHeight="1">
      <c r="A5" s="17" t="s">
        <v>376</v>
      </c>
      <c r="B5" s="17" t="s">
        <v>377</v>
      </c>
      <c r="C5" s="18" t="s">
        <v>137</v>
      </c>
      <c r="D5" s="19" t="s">
        <v>15</v>
      </c>
      <c r="E5" s="17" t="str">
        <f t="shared" si="0"/>
        <v>Esen, Fadime</v>
      </c>
      <c r="F5" s="17" t="s">
        <v>159</v>
      </c>
    </row>
    <row r="6" spans="1:6" ht="15" customHeight="1">
      <c r="A6" s="17" t="s">
        <v>378</v>
      </c>
      <c r="B6" s="17" t="s">
        <v>80</v>
      </c>
      <c r="C6" s="18" t="s">
        <v>151</v>
      </c>
      <c r="D6" s="19" t="s">
        <v>15</v>
      </c>
      <c r="E6" s="17" t="str">
        <f t="shared" si="0"/>
        <v>Altinos, Emre</v>
      </c>
      <c r="F6" s="17" t="s">
        <v>121</v>
      </c>
    </row>
    <row r="7" spans="1:6" ht="15" customHeight="1">
      <c r="A7" s="17" t="s">
        <v>164</v>
      </c>
      <c r="B7" s="17"/>
      <c r="C7" s="18" t="s">
        <v>165</v>
      </c>
      <c r="D7" s="19" t="s">
        <v>15</v>
      </c>
      <c r="E7" s="17" t="str">
        <f t="shared" si="0"/>
        <v>Müller</v>
      </c>
      <c r="F7" s="17" t="s">
        <v>121</v>
      </c>
    </row>
    <row r="8" spans="1:6" ht="15" customHeight="1">
      <c r="A8" s="17" t="s">
        <v>379</v>
      </c>
      <c r="B8" s="17" t="s">
        <v>380</v>
      </c>
      <c r="C8" s="18" t="s">
        <v>182</v>
      </c>
      <c r="D8" s="19" t="s">
        <v>15</v>
      </c>
      <c r="E8" s="17" t="str">
        <f t="shared" si="0"/>
        <v>Pachonik, Leon</v>
      </c>
      <c r="F8" s="17" t="s">
        <v>121</v>
      </c>
    </row>
    <row r="9" spans="1:6" ht="15" customHeight="1">
      <c r="A9" s="17" t="s">
        <v>381</v>
      </c>
      <c r="B9" s="17" t="s">
        <v>382</v>
      </c>
      <c r="C9" s="18" t="s">
        <v>192</v>
      </c>
      <c r="D9" s="19" t="s">
        <v>15</v>
      </c>
      <c r="E9" s="17" t="str">
        <f t="shared" si="0"/>
        <v>Pernal, Natan</v>
      </c>
      <c r="F9" s="17" t="s">
        <v>121</v>
      </c>
    </row>
    <row r="10" spans="1:6" ht="15" customHeight="1">
      <c r="A10" s="17" t="s">
        <v>383</v>
      </c>
      <c r="B10" s="17" t="s">
        <v>384</v>
      </c>
      <c r="C10" s="18" t="s">
        <v>214</v>
      </c>
      <c r="D10" s="19" t="s">
        <v>15</v>
      </c>
      <c r="E10" s="17" t="str">
        <f t="shared" si="0"/>
        <v>Langer, Philipp</v>
      </c>
      <c r="F10" s="17" t="s">
        <v>213</v>
      </c>
    </row>
    <row r="11" spans="1:6" ht="15" customHeight="1">
      <c r="A11" s="17" t="s">
        <v>224</v>
      </c>
      <c r="B11" s="17"/>
      <c r="C11" s="18" t="s">
        <v>225</v>
      </c>
      <c r="D11" s="20" t="s">
        <v>27</v>
      </c>
      <c r="E11" s="17" t="str">
        <f t="shared" si="0"/>
        <v>Nasser</v>
      </c>
      <c r="F11" s="17" t="s">
        <v>121</v>
      </c>
    </row>
    <row r="12" spans="1:6" ht="15" customHeight="1">
      <c r="A12" s="17" t="s">
        <v>230</v>
      </c>
      <c r="B12" s="17"/>
      <c r="C12" s="18" t="s">
        <v>385</v>
      </c>
      <c r="D12" s="20" t="s">
        <v>27</v>
      </c>
      <c r="E12" s="17" t="str">
        <f t="shared" si="0"/>
        <v>Kleinwaechter</v>
      </c>
      <c r="F12" s="17" t="s">
        <v>159</v>
      </c>
    </row>
    <row r="13" spans="1:6" ht="15" customHeight="1">
      <c r="A13" s="17" t="s">
        <v>236</v>
      </c>
      <c r="B13" s="17" t="s">
        <v>58</v>
      </c>
      <c r="C13" s="18" t="s">
        <v>248</v>
      </c>
      <c r="D13" s="20" t="s">
        <v>27</v>
      </c>
      <c r="E13" s="17" t="str">
        <f t="shared" si="0"/>
        <v>Klewitz, Christian</v>
      </c>
      <c r="F13" s="17" t="s">
        <v>247</v>
      </c>
    </row>
    <row r="14" spans="1:6" ht="15" customHeight="1">
      <c r="A14" s="17" t="s">
        <v>241</v>
      </c>
      <c r="B14" s="17"/>
      <c r="C14" s="18"/>
      <c r="D14" s="20" t="s">
        <v>27</v>
      </c>
      <c r="E14" s="17" t="str">
        <f t="shared" si="0"/>
        <v>Akbabah</v>
      </c>
      <c r="F14" s="17" t="s">
        <v>242</v>
      </c>
    </row>
    <row r="15" spans="1:6" ht="15" customHeight="1">
      <c r="A15" s="17" t="s">
        <v>243</v>
      </c>
      <c r="B15" s="17"/>
      <c r="C15" s="18" t="s">
        <v>244</v>
      </c>
      <c r="D15" s="20" t="s">
        <v>27</v>
      </c>
      <c r="E15" s="17" t="str">
        <f t="shared" si="0"/>
        <v>Sherzad</v>
      </c>
      <c r="F15" s="17" t="s">
        <v>121</v>
      </c>
    </row>
    <row r="16" spans="1:6" ht="15" customHeight="1">
      <c r="A16" s="17" t="s">
        <v>386</v>
      </c>
      <c r="B16" s="17" t="s">
        <v>92</v>
      </c>
      <c r="C16" s="18" t="s">
        <v>387</v>
      </c>
      <c r="D16" s="21" t="s">
        <v>33</v>
      </c>
      <c r="E16" s="17" t="str">
        <f t="shared" si="0"/>
        <v>Baulig, Markus</v>
      </c>
      <c r="F16" s="17" t="s">
        <v>388</v>
      </c>
    </row>
    <row r="17" spans="1:6" ht="15" customHeight="1">
      <c r="A17" s="17" t="s">
        <v>389</v>
      </c>
      <c r="B17" s="17"/>
      <c r="C17" s="18" t="s">
        <v>301</v>
      </c>
      <c r="D17" s="21" t="s">
        <v>33</v>
      </c>
      <c r="E17" s="17" t="str">
        <f t="shared" si="0"/>
        <v>Uzum</v>
      </c>
      <c r="F17" s="17" t="s">
        <v>121</v>
      </c>
    </row>
    <row r="18" spans="1:6" ht="15" customHeight="1">
      <c r="A18" s="17" t="s">
        <v>305</v>
      </c>
      <c r="B18" s="17"/>
      <c r="C18" s="18" t="s">
        <v>306</v>
      </c>
      <c r="D18" s="21" t="s">
        <v>33</v>
      </c>
      <c r="E18" s="17" t="str">
        <f t="shared" si="0"/>
        <v>Klappert</v>
      </c>
      <c r="F18" s="17" t="s">
        <v>121</v>
      </c>
    </row>
    <row r="19" spans="1:6" ht="15" customHeight="1">
      <c r="A19" s="17" t="s">
        <v>311</v>
      </c>
      <c r="B19" s="17"/>
      <c r="C19" s="18" t="s">
        <v>313</v>
      </c>
      <c r="D19" s="21" t="s">
        <v>33</v>
      </c>
      <c r="E19" s="17" t="str">
        <f t="shared" si="0"/>
        <v>Theo</v>
      </c>
      <c r="F19" s="17" t="s">
        <v>312</v>
      </c>
    </row>
    <row r="20" spans="1:6" ht="15" customHeight="1">
      <c r="A20" s="17" t="s">
        <v>317</v>
      </c>
      <c r="B20" s="17" t="s">
        <v>390</v>
      </c>
      <c r="C20" s="18" t="s">
        <v>318</v>
      </c>
      <c r="D20" s="21" t="s">
        <v>33</v>
      </c>
      <c r="E20" s="17" t="str">
        <f t="shared" si="0"/>
        <v>BZL RR BA3, (Leitstelle)</v>
      </c>
      <c r="F20" s="17" t="s">
        <v>391</v>
      </c>
    </row>
    <row r="21" spans="1:6" ht="15" customHeight="1">
      <c r="A21" s="17" t="s">
        <v>392</v>
      </c>
      <c r="B21" s="17" t="s">
        <v>393</v>
      </c>
      <c r="C21" s="18" t="s">
        <v>325</v>
      </c>
      <c r="D21" s="21" t="s">
        <v>33</v>
      </c>
      <c r="E21" s="17" t="str">
        <f t="shared" si="0"/>
        <v>Cüccam, Aslihan</v>
      </c>
      <c r="F21" s="17" t="s">
        <v>324</v>
      </c>
    </row>
    <row r="22" spans="1:6" ht="15" customHeight="1">
      <c r="A22" s="17" t="s">
        <v>394</v>
      </c>
      <c r="B22" s="17"/>
      <c r="C22" s="18" t="s">
        <v>318</v>
      </c>
      <c r="D22" s="21" t="s">
        <v>33</v>
      </c>
      <c r="E22" s="17" t="str">
        <f t="shared" si="0"/>
        <v>Eckert</v>
      </c>
      <c r="F22" s="17" t="s">
        <v>121</v>
      </c>
    </row>
    <row r="23" spans="1:6" ht="15" customHeight="1">
      <c r="A23" s="17" t="s">
        <v>395</v>
      </c>
      <c r="B23" s="17"/>
      <c r="C23" s="18" t="s">
        <v>318</v>
      </c>
      <c r="D23" s="21" t="s">
        <v>33</v>
      </c>
      <c r="E23" s="17" t="str">
        <f t="shared" si="0"/>
        <v>Graule</v>
      </c>
      <c r="F23" s="17" t="s">
        <v>121</v>
      </c>
    </row>
    <row r="24" spans="1:6" ht="15" customHeight="1">
      <c r="A24" s="17" t="s">
        <v>396</v>
      </c>
      <c r="B24" s="17"/>
      <c r="C24" s="18" t="s">
        <v>318</v>
      </c>
      <c r="D24" s="21" t="s">
        <v>33</v>
      </c>
      <c r="E24" s="17" t="str">
        <f t="shared" si="0"/>
        <v>Kalchreuter</v>
      </c>
      <c r="F24" s="17" t="s">
        <v>121</v>
      </c>
    </row>
    <row r="25" spans="1:6" ht="15" customHeight="1">
      <c r="A25" s="17" t="s">
        <v>397</v>
      </c>
      <c r="B25" s="17"/>
      <c r="C25" s="18" t="s">
        <v>318</v>
      </c>
      <c r="D25" s="21" t="s">
        <v>33</v>
      </c>
      <c r="E25" s="17" t="str">
        <f t="shared" si="0"/>
        <v>Gebel-Marloth</v>
      </c>
      <c r="F25" s="17" t="s">
        <v>121</v>
      </c>
    </row>
    <row r="26" spans="1:6" ht="15" customHeight="1">
      <c r="A26" s="17"/>
      <c r="B26" s="17"/>
      <c r="C26" s="18"/>
      <c r="D26" s="17"/>
      <c r="E26" s="17" t="str">
        <f t="shared" si="0"/>
        <v/>
      </c>
      <c r="F26" s="17"/>
    </row>
    <row r="27" spans="1:6" ht="15" customHeight="1">
      <c r="A27" s="17"/>
      <c r="B27" s="17"/>
      <c r="C27" s="18"/>
      <c r="D27" s="17"/>
      <c r="E27" s="17" t="str">
        <f t="shared" si="0"/>
        <v/>
      </c>
      <c r="F27" s="17"/>
    </row>
    <row r="28" spans="1:6" ht="15" customHeight="1">
      <c r="A28" s="17"/>
      <c r="B28" s="17"/>
      <c r="C28" s="18"/>
      <c r="D28" s="17"/>
      <c r="E28" s="17" t="str">
        <f t="shared" si="0"/>
        <v/>
      </c>
      <c r="F28" s="17"/>
    </row>
    <row r="29" spans="1:6" ht="15" customHeight="1">
      <c r="A29" s="17"/>
      <c r="B29" s="17"/>
      <c r="C29" s="18"/>
      <c r="D29" s="17"/>
      <c r="E29" s="17" t="str">
        <f t="shared" si="0"/>
        <v/>
      </c>
      <c r="F29" s="17"/>
    </row>
    <row r="30" spans="1:6" ht="15" customHeight="1">
      <c r="A30" s="17"/>
      <c r="B30" s="17"/>
      <c r="C30" s="18"/>
      <c r="D30" s="17"/>
      <c r="E30" s="17" t="str">
        <f t="shared" si="0"/>
        <v/>
      </c>
      <c r="F30" s="17"/>
    </row>
    <row r="31" spans="1:6" ht="15" customHeight="1">
      <c r="A31" s="17"/>
      <c r="B31" s="17"/>
      <c r="C31" s="18"/>
      <c r="D31" s="17"/>
      <c r="E31" s="17" t="str">
        <f t="shared" si="0"/>
        <v/>
      </c>
      <c r="F31" s="17"/>
    </row>
    <row r="32" spans="1:6" ht="15" customHeight="1">
      <c r="A32" s="17"/>
      <c r="B32" s="17"/>
      <c r="C32" s="18"/>
      <c r="D32" s="17"/>
      <c r="E32" s="17" t="str">
        <f t="shared" si="0"/>
        <v/>
      </c>
      <c r="F32" s="17"/>
    </row>
    <row r="33" spans="1:6" ht="15" customHeight="1">
      <c r="A33" s="17"/>
      <c r="B33" s="17"/>
      <c r="C33" s="18"/>
      <c r="D33" s="17"/>
      <c r="E33" s="17" t="str">
        <f t="shared" si="0"/>
        <v/>
      </c>
      <c r="F33" s="17"/>
    </row>
    <row r="34" spans="1:6" ht="15" customHeight="1">
      <c r="A34" s="17"/>
      <c r="B34" s="17"/>
      <c r="C34" s="18"/>
      <c r="D34" s="17"/>
      <c r="E34" s="17" t="str">
        <f t="shared" si="0"/>
        <v/>
      </c>
      <c r="F34" s="17"/>
    </row>
    <row r="35" spans="1:6" ht="15" customHeight="1">
      <c r="A35" s="17"/>
      <c r="B35" s="17"/>
      <c r="C35" s="18"/>
      <c r="D35" s="17"/>
      <c r="E35" s="17" t="str">
        <f t="shared" si="0"/>
        <v/>
      </c>
      <c r="F35" s="17"/>
    </row>
    <row r="36" spans="1:6" ht="15" customHeight="1">
      <c r="A36" s="17"/>
      <c r="B36" s="17"/>
      <c r="C36" s="18"/>
      <c r="D36" s="17"/>
      <c r="E36" s="17" t="str">
        <f t="shared" ref="E36:E67" si="1">IF($A36="","",TRIM($A36&amp;IF($B36&lt;&gt;"",", "&amp;$B36,"")))</f>
        <v/>
      </c>
      <c r="F36" s="17"/>
    </row>
    <row r="37" spans="1:6" ht="15" customHeight="1">
      <c r="A37" s="17"/>
      <c r="B37" s="17"/>
      <c r="C37" s="18"/>
      <c r="D37" s="17"/>
      <c r="E37" s="17" t="str">
        <f t="shared" si="1"/>
        <v/>
      </c>
      <c r="F37" s="17"/>
    </row>
    <row r="38" spans="1:6" ht="15" customHeight="1">
      <c r="A38" s="17"/>
      <c r="B38" s="17"/>
      <c r="C38" s="18"/>
      <c r="D38" s="17"/>
      <c r="E38" s="17" t="str">
        <f t="shared" si="1"/>
        <v/>
      </c>
      <c r="F38" s="17"/>
    </row>
    <row r="39" spans="1:6" ht="15" customHeight="1">
      <c r="A39" s="17"/>
      <c r="B39" s="17"/>
      <c r="C39" s="18"/>
      <c r="D39" s="17"/>
      <c r="E39" s="17" t="str">
        <f t="shared" si="1"/>
        <v/>
      </c>
      <c r="F39" s="17"/>
    </row>
    <row r="40" spans="1:6" ht="15" customHeight="1">
      <c r="A40" s="17"/>
      <c r="B40" s="17"/>
      <c r="C40" s="18"/>
      <c r="D40" s="17"/>
      <c r="E40" s="17" t="str">
        <f t="shared" si="1"/>
        <v/>
      </c>
      <c r="F40" s="17"/>
    </row>
    <row r="41" spans="1:6" ht="15" customHeight="1">
      <c r="A41" s="17"/>
      <c r="B41" s="17"/>
      <c r="C41" s="18"/>
      <c r="D41" s="17"/>
      <c r="E41" s="17" t="str">
        <f t="shared" si="1"/>
        <v/>
      </c>
      <c r="F41" s="17"/>
    </row>
    <row r="42" spans="1:6" ht="15" customHeight="1">
      <c r="A42" s="17"/>
      <c r="B42" s="17"/>
      <c r="C42" s="18"/>
      <c r="D42" s="17"/>
      <c r="E42" s="17" t="str">
        <f t="shared" si="1"/>
        <v/>
      </c>
      <c r="F42" s="17"/>
    </row>
    <row r="43" spans="1:6" ht="15" customHeight="1">
      <c r="A43" s="17"/>
      <c r="B43" s="17"/>
      <c r="C43" s="18"/>
      <c r="D43" s="17"/>
      <c r="E43" s="17" t="str">
        <f t="shared" si="1"/>
        <v/>
      </c>
      <c r="F43" s="17"/>
    </row>
    <row r="44" spans="1:6" ht="15" customHeight="1">
      <c r="A44" s="17"/>
      <c r="B44" s="17"/>
      <c r="C44" s="18"/>
      <c r="D44" s="17"/>
      <c r="E44" s="17" t="str">
        <f t="shared" si="1"/>
        <v/>
      </c>
      <c r="F44" s="17"/>
    </row>
    <row r="45" spans="1:6" ht="15" customHeight="1">
      <c r="A45" s="17"/>
      <c r="B45" s="17"/>
      <c r="C45" s="18"/>
      <c r="D45" s="17"/>
      <c r="E45" s="17" t="str">
        <f t="shared" si="1"/>
        <v/>
      </c>
      <c r="F45" s="17"/>
    </row>
    <row r="46" spans="1:6" ht="15" customHeight="1">
      <c r="A46" s="17"/>
      <c r="B46" s="17"/>
      <c r="C46" s="18"/>
      <c r="D46" s="17"/>
      <c r="E46" s="17" t="str">
        <f t="shared" si="1"/>
        <v/>
      </c>
      <c r="F46" s="17"/>
    </row>
    <row r="47" spans="1:6" ht="15" customHeight="1">
      <c r="A47" s="17"/>
      <c r="B47" s="17"/>
      <c r="C47" s="18"/>
      <c r="D47" s="17"/>
      <c r="E47" s="17" t="str">
        <f t="shared" si="1"/>
        <v/>
      </c>
      <c r="F47" s="17"/>
    </row>
    <row r="48" spans="1:6" ht="15" customHeight="1">
      <c r="A48" s="17"/>
      <c r="B48" s="17"/>
      <c r="C48" s="18"/>
      <c r="D48" s="17"/>
      <c r="E48" s="17" t="str">
        <f t="shared" si="1"/>
        <v/>
      </c>
      <c r="F48" s="17"/>
    </row>
    <row r="49" spans="1:6" ht="15" customHeight="1">
      <c r="A49" s="17"/>
      <c r="B49" s="17"/>
      <c r="C49" s="18"/>
      <c r="D49" s="17"/>
      <c r="E49" s="17" t="str">
        <f t="shared" si="1"/>
        <v/>
      </c>
      <c r="F49" s="17"/>
    </row>
    <row r="50" spans="1:6" ht="15" customHeight="1">
      <c r="A50" s="17"/>
      <c r="B50" s="17"/>
      <c r="C50" s="18"/>
      <c r="D50" s="17"/>
      <c r="E50" s="17" t="str">
        <f t="shared" si="1"/>
        <v/>
      </c>
      <c r="F50" s="17"/>
    </row>
    <row r="51" spans="1:6" ht="15" customHeight="1">
      <c r="A51" s="17"/>
      <c r="B51" s="17"/>
      <c r="C51" s="18"/>
      <c r="D51" s="17"/>
      <c r="E51" s="17" t="str">
        <f t="shared" si="1"/>
        <v/>
      </c>
      <c r="F51" s="17"/>
    </row>
    <row r="52" spans="1:6" ht="15" customHeight="1">
      <c r="A52" s="17"/>
      <c r="B52" s="17"/>
      <c r="C52" s="18"/>
      <c r="D52" s="17"/>
      <c r="E52" s="17" t="str">
        <f t="shared" si="1"/>
        <v/>
      </c>
      <c r="F52" s="17"/>
    </row>
    <row r="53" spans="1:6" ht="15" customHeight="1">
      <c r="A53" s="17"/>
      <c r="B53" s="17"/>
      <c r="C53" s="18"/>
      <c r="D53" s="17"/>
      <c r="E53" s="17" t="str">
        <f t="shared" si="1"/>
        <v/>
      </c>
      <c r="F53" s="17"/>
    </row>
    <row r="54" spans="1:6" ht="15" customHeight="1">
      <c r="A54" s="17"/>
      <c r="B54" s="17"/>
      <c r="C54" s="18"/>
      <c r="D54" s="17"/>
      <c r="E54" s="17" t="str">
        <f t="shared" si="1"/>
        <v/>
      </c>
      <c r="F54" s="17"/>
    </row>
    <row r="55" spans="1:6" ht="15" customHeight="1">
      <c r="A55" s="17"/>
      <c r="B55" s="17"/>
      <c r="C55" s="18"/>
      <c r="D55" s="17"/>
      <c r="E55" s="17" t="str">
        <f t="shared" si="1"/>
        <v/>
      </c>
      <c r="F55" s="17"/>
    </row>
    <row r="56" spans="1:6" ht="15" customHeight="1">
      <c r="A56" s="17"/>
      <c r="B56" s="17"/>
      <c r="C56" s="18"/>
      <c r="D56" s="17"/>
      <c r="E56" s="17" t="str">
        <f t="shared" si="1"/>
        <v/>
      </c>
      <c r="F56" s="17"/>
    </row>
    <row r="57" spans="1:6" ht="15" customHeight="1">
      <c r="A57" s="17"/>
      <c r="B57" s="17"/>
      <c r="C57" s="18"/>
      <c r="D57" s="17"/>
      <c r="E57" s="17" t="str">
        <f t="shared" si="1"/>
        <v/>
      </c>
      <c r="F57" s="17"/>
    </row>
    <row r="58" spans="1:6" ht="15" customHeight="1">
      <c r="A58" s="17"/>
      <c r="B58" s="17"/>
      <c r="C58" s="18"/>
      <c r="D58" s="17"/>
      <c r="E58" s="17" t="str">
        <f t="shared" si="1"/>
        <v/>
      </c>
      <c r="F58" s="17"/>
    </row>
    <row r="59" spans="1:6" ht="15" customHeight="1">
      <c r="A59" s="17"/>
      <c r="B59" s="17"/>
      <c r="C59" s="18"/>
      <c r="D59" s="17"/>
      <c r="E59" s="17" t="str">
        <f t="shared" si="1"/>
        <v/>
      </c>
      <c r="F59" s="17"/>
    </row>
    <row r="60" spans="1:6" ht="15" customHeight="1">
      <c r="A60" s="17"/>
      <c r="B60" s="17"/>
      <c r="C60" s="18"/>
      <c r="D60" s="17"/>
      <c r="E60" s="17" t="str">
        <f t="shared" si="1"/>
        <v/>
      </c>
      <c r="F60" s="17"/>
    </row>
    <row r="61" spans="1:6" ht="15" customHeight="1">
      <c r="A61" s="17"/>
      <c r="B61" s="17"/>
      <c r="C61" s="18"/>
      <c r="D61" s="17"/>
      <c r="E61" s="17" t="str">
        <f t="shared" si="1"/>
        <v/>
      </c>
      <c r="F61" s="17"/>
    </row>
    <row r="62" spans="1:6" ht="15" customHeight="1">
      <c r="A62" s="17"/>
      <c r="B62" s="17"/>
      <c r="C62" s="18"/>
      <c r="D62" s="17"/>
      <c r="E62" s="17" t="str">
        <f t="shared" si="1"/>
        <v/>
      </c>
      <c r="F62" s="17"/>
    </row>
    <row r="63" spans="1:6" ht="15" customHeight="1">
      <c r="A63" s="17"/>
      <c r="B63" s="17"/>
      <c r="C63" s="18"/>
      <c r="D63" s="17"/>
      <c r="E63" s="17" t="str">
        <f t="shared" si="1"/>
        <v/>
      </c>
      <c r="F63" s="17"/>
    </row>
    <row r="64" spans="1:6" ht="15" customHeight="1">
      <c r="A64" s="17"/>
      <c r="B64" s="17"/>
      <c r="C64" s="18"/>
      <c r="D64" s="17"/>
      <c r="E64" s="17" t="str">
        <f t="shared" si="1"/>
        <v/>
      </c>
      <c r="F64" s="17"/>
    </row>
    <row r="65" spans="1:6" ht="15" customHeight="1">
      <c r="A65" s="17"/>
      <c r="B65" s="17"/>
      <c r="C65" s="18"/>
      <c r="D65" s="17"/>
      <c r="E65" s="17" t="str">
        <f t="shared" si="1"/>
        <v/>
      </c>
      <c r="F65" s="17"/>
    </row>
    <row r="66" spans="1:6" ht="15" customHeight="1">
      <c r="A66" s="17"/>
      <c r="B66" s="17"/>
      <c r="C66" s="18"/>
      <c r="D66" s="17"/>
      <c r="E66" s="17" t="str">
        <f t="shared" si="1"/>
        <v/>
      </c>
      <c r="F66" s="17"/>
    </row>
    <row r="67" spans="1:6" ht="15" customHeight="1">
      <c r="A67" s="17"/>
      <c r="B67" s="17"/>
      <c r="C67" s="18"/>
      <c r="D67" s="17"/>
      <c r="E67" s="17" t="str">
        <f t="shared" si="1"/>
        <v/>
      </c>
      <c r="F67" s="17"/>
    </row>
    <row r="68" spans="1:6" ht="15" customHeight="1">
      <c r="A68" s="17"/>
      <c r="B68" s="17"/>
      <c r="C68" s="18"/>
      <c r="D68" s="17"/>
      <c r="E68" s="17" t="str">
        <f t="shared" ref="E68:E80" si="2">IF($A68="","",TRIM($A68&amp;IF($B68&lt;&gt;"",", "&amp;$B68,"")))</f>
        <v/>
      </c>
      <c r="F68" s="17"/>
    </row>
    <row r="69" spans="1:6" ht="15" customHeight="1">
      <c r="A69" s="17"/>
      <c r="B69" s="17"/>
      <c r="C69" s="18"/>
      <c r="D69" s="17"/>
      <c r="E69" s="17" t="str">
        <f t="shared" si="2"/>
        <v/>
      </c>
      <c r="F69" s="17"/>
    </row>
    <row r="70" spans="1:6" ht="15" customHeight="1">
      <c r="A70" s="17"/>
      <c r="B70" s="17"/>
      <c r="C70" s="18"/>
      <c r="D70" s="17"/>
      <c r="E70" s="17" t="str">
        <f t="shared" si="2"/>
        <v/>
      </c>
      <c r="F70" s="17"/>
    </row>
    <row r="71" spans="1:6" ht="15" customHeight="1">
      <c r="A71" s="17"/>
      <c r="B71" s="17"/>
      <c r="C71" s="18"/>
      <c r="D71" s="17"/>
      <c r="E71" s="17" t="str">
        <f t="shared" si="2"/>
        <v/>
      </c>
      <c r="F71" s="17"/>
    </row>
    <row r="72" spans="1:6" ht="15" customHeight="1">
      <c r="A72" s="17"/>
      <c r="B72" s="17"/>
      <c r="C72" s="18"/>
      <c r="D72" s="17"/>
      <c r="E72" s="17" t="str">
        <f t="shared" si="2"/>
        <v/>
      </c>
      <c r="F72" s="17"/>
    </row>
    <row r="73" spans="1:6" ht="15" customHeight="1">
      <c r="A73" s="17"/>
      <c r="B73" s="17"/>
      <c r="C73" s="18"/>
      <c r="D73" s="17"/>
      <c r="E73" s="17" t="str">
        <f t="shared" si="2"/>
        <v/>
      </c>
      <c r="F73" s="17"/>
    </row>
    <row r="74" spans="1:6" ht="15" customHeight="1">
      <c r="A74" s="17"/>
      <c r="B74" s="17"/>
      <c r="C74" s="18"/>
      <c r="D74" s="17"/>
      <c r="E74" s="17" t="str">
        <f t="shared" si="2"/>
        <v/>
      </c>
      <c r="F74" s="17"/>
    </row>
    <row r="75" spans="1:6" ht="15" customHeight="1">
      <c r="A75" s="17"/>
      <c r="B75" s="17"/>
      <c r="C75" s="18"/>
      <c r="D75" s="17"/>
      <c r="E75" s="17" t="str">
        <f t="shared" si="2"/>
        <v/>
      </c>
      <c r="F75" s="17"/>
    </row>
    <row r="76" spans="1:6" ht="15" customHeight="1">
      <c r="A76" s="17"/>
      <c r="B76" s="17"/>
      <c r="C76" s="18"/>
      <c r="D76" s="17"/>
      <c r="E76" s="17" t="str">
        <f t="shared" si="2"/>
        <v/>
      </c>
      <c r="F76" s="17"/>
    </row>
    <row r="77" spans="1:6" ht="15" customHeight="1">
      <c r="A77" s="17"/>
      <c r="B77" s="17"/>
      <c r="C77" s="18"/>
      <c r="D77" s="17"/>
      <c r="E77" s="17" t="str">
        <f t="shared" si="2"/>
        <v/>
      </c>
      <c r="F77" s="17"/>
    </row>
    <row r="78" spans="1:6" ht="15" customHeight="1">
      <c r="A78" s="17"/>
      <c r="B78" s="17"/>
      <c r="C78" s="18"/>
      <c r="D78" s="17"/>
      <c r="E78" s="17" t="str">
        <f t="shared" si="2"/>
        <v/>
      </c>
      <c r="F78" s="17"/>
    </row>
    <row r="79" spans="1:6" ht="15" customHeight="1">
      <c r="A79" s="17"/>
      <c r="B79" s="17"/>
      <c r="C79" s="18"/>
      <c r="D79" s="17"/>
      <c r="E79" s="17" t="str">
        <f t="shared" si="2"/>
        <v/>
      </c>
      <c r="F79" s="17"/>
    </row>
    <row r="80" spans="1:6" ht="15" customHeight="1">
      <c r="A80" s="17"/>
      <c r="B80" s="17"/>
      <c r="C80" s="18"/>
      <c r="D80" s="17"/>
      <c r="E80" s="17" t="str">
        <f t="shared" si="2"/>
        <v/>
      </c>
      <c r="F80" s="17"/>
    </row>
    <row r="83" spans="1:3" ht="15" customHeight="1">
      <c r="A83" s="15"/>
    </row>
    <row r="84" spans="1:3" ht="15" customHeight="1">
      <c r="A84" s="22"/>
      <c r="B84" s="22"/>
      <c r="C84" s="22"/>
    </row>
    <row r="85" spans="1:3" ht="15" customHeight="1"/>
    <row r="86" spans="1:3" ht="15" customHeight="1"/>
    <row r="87" spans="1:3" ht="15" customHeight="1"/>
    <row r="88" spans="1:3" ht="15" customHeight="1"/>
    <row r="89" spans="1:3" ht="15" customHeight="1"/>
    <row r="90" spans="1:3" ht="15" customHeight="1"/>
    <row r="91" spans="1:3" ht="15" customHeight="1"/>
    <row r="92" spans="1:3" ht="15" customHeight="1"/>
    <row r="93" spans="1:3" ht="15" customHeight="1"/>
    <row r="94" spans="1:3" ht="1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zoomScaleNormal="100" workbookViewId="0">
      <pane ySplit="4" topLeftCell="A5" activePane="bottomLeft" state="frozen"/>
      <selection pane="bottomLeft" activeCell="E7" sqref="E7"/>
    </sheetView>
  </sheetViews>
  <sheetFormatPr defaultColWidth="9.140625" defaultRowHeight="15"/>
  <cols>
    <col min="1" max="1" width="10" customWidth="1"/>
    <col min="2" max="2" width="46" customWidth="1"/>
    <col min="3" max="3" width="10" customWidth="1"/>
    <col min="4" max="4" width="46" customWidth="1"/>
    <col min="5" max="5" width="10" customWidth="1"/>
    <col min="6" max="6" width="46" customWidth="1"/>
  </cols>
  <sheetData>
    <row r="1" spans="1:6" ht="17.25" customHeight="1">
      <c r="A1" s="14" t="s">
        <v>398</v>
      </c>
    </row>
    <row r="2" spans="1:6" ht="15" customHeight="1">
      <c r="A2" s="15" t="s">
        <v>399</v>
      </c>
    </row>
    <row r="3" spans="1:6" ht="19.5" customHeight="1">
      <c r="A3" s="38" t="s">
        <v>15</v>
      </c>
      <c r="B3" s="38"/>
      <c r="C3" s="39" t="s">
        <v>27</v>
      </c>
      <c r="D3" s="39"/>
      <c r="E3" s="40" t="s">
        <v>33</v>
      </c>
      <c r="F3" s="40"/>
    </row>
    <row r="4" spans="1:6" ht="15" customHeight="1">
      <c r="A4" s="23" t="s">
        <v>400</v>
      </c>
      <c r="B4" s="23" t="s">
        <v>401</v>
      </c>
      <c r="C4" s="24" t="s">
        <v>400</v>
      </c>
      <c r="D4" s="24" t="s">
        <v>401</v>
      </c>
      <c r="E4" s="25" t="s">
        <v>400</v>
      </c>
      <c r="F4" s="25" t="s">
        <v>401</v>
      </c>
    </row>
    <row r="5" spans="1:6" ht="72" customHeight="1">
      <c r="A5" s="26">
        <v>3507</v>
      </c>
      <c r="B5" s="27" t="s">
        <v>402</v>
      </c>
      <c r="C5" s="26">
        <v>2324</v>
      </c>
      <c r="D5" s="27" t="s">
        <v>403</v>
      </c>
      <c r="E5" s="26">
        <v>2324</v>
      </c>
      <c r="F5" s="27" t="s">
        <v>403</v>
      </c>
    </row>
    <row r="6" spans="1:6" ht="69" customHeight="1">
      <c r="A6" s="26"/>
      <c r="B6" s="27"/>
      <c r="C6" s="26">
        <v>3507</v>
      </c>
      <c r="D6" s="27" t="s">
        <v>402</v>
      </c>
      <c r="E6" s="26">
        <v>3710</v>
      </c>
      <c r="F6" s="27" t="s">
        <v>404</v>
      </c>
    </row>
    <row r="7" spans="1:6" ht="58.5" customHeight="1">
      <c r="A7" s="26"/>
      <c r="B7" s="27"/>
      <c r="C7" s="26"/>
      <c r="D7" s="27"/>
      <c r="E7" s="26">
        <v>3011</v>
      </c>
      <c r="F7" s="27" t="s">
        <v>405</v>
      </c>
    </row>
    <row r="8" spans="1:6" ht="66" customHeight="1">
      <c r="A8" s="26"/>
      <c r="B8" s="27"/>
      <c r="C8" s="26"/>
      <c r="D8" s="27"/>
      <c r="E8" s="26">
        <v>3507</v>
      </c>
      <c r="F8" s="27" t="s">
        <v>402</v>
      </c>
    </row>
    <row r="9" spans="1:6" ht="15" customHeight="1">
      <c r="A9" s="26"/>
      <c r="B9" s="27"/>
      <c r="C9" s="26"/>
      <c r="D9" s="27"/>
      <c r="E9" s="26"/>
      <c r="F9" s="27"/>
    </row>
    <row r="10" spans="1:6" ht="15" customHeight="1">
      <c r="A10" s="26"/>
      <c r="B10" s="27"/>
      <c r="C10" s="26"/>
      <c r="D10" s="27"/>
      <c r="E10" s="26"/>
      <c r="F10" s="27"/>
    </row>
    <row r="11" spans="1:6" ht="15" customHeight="1">
      <c r="A11" s="26"/>
      <c r="B11" s="27"/>
      <c r="C11" s="26"/>
      <c r="D11" s="27"/>
      <c r="E11" s="26"/>
      <c r="F11" s="27"/>
    </row>
    <row r="12" spans="1:6" ht="15" customHeight="1">
      <c r="A12" s="26"/>
      <c r="B12" s="27"/>
      <c r="C12" s="26"/>
      <c r="D12" s="27"/>
      <c r="E12" s="26"/>
      <c r="F12" s="27"/>
    </row>
    <row r="13" spans="1:6" ht="15" customHeight="1">
      <c r="A13" s="26"/>
      <c r="B13" s="27"/>
      <c r="C13" s="26"/>
      <c r="D13" s="27"/>
      <c r="E13" s="26"/>
      <c r="F13" s="27"/>
    </row>
    <row r="14" spans="1:6" ht="15" customHeight="1">
      <c r="A14" s="26"/>
      <c r="B14" s="27"/>
      <c r="C14" s="26"/>
      <c r="D14" s="27"/>
      <c r="E14" s="26"/>
      <c r="F14" s="27"/>
    </row>
    <row r="15" spans="1:6" ht="15" customHeight="1">
      <c r="A15" s="26"/>
      <c r="B15" s="27"/>
      <c r="C15" s="26"/>
      <c r="D15" s="27"/>
      <c r="E15" s="26"/>
      <c r="F15" s="27"/>
    </row>
    <row r="16" spans="1:6" ht="15" customHeight="1">
      <c r="A16" s="26"/>
      <c r="B16" s="27"/>
      <c r="C16" s="26"/>
      <c r="D16" s="27"/>
      <c r="E16" s="26"/>
      <c r="F16" s="27"/>
    </row>
    <row r="17" spans="1:6" ht="15" customHeight="1">
      <c r="A17" s="26"/>
      <c r="B17" s="27"/>
      <c r="C17" s="26"/>
      <c r="D17" s="27"/>
      <c r="E17" s="26"/>
      <c r="F17" s="27"/>
    </row>
    <row r="18" spans="1:6" ht="15" customHeight="1">
      <c r="A18" s="26"/>
      <c r="B18" s="27"/>
      <c r="C18" s="26"/>
      <c r="D18" s="27"/>
      <c r="E18" s="26"/>
      <c r="F18" s="27"/>
    </row>
    <row r="19" spans="1:6" ht="15" customHeight="1">
      <c r="A19" s="26"/>
      <c r="B19" s="27"/>
      <c r="C19" s="26"/>
      <c r="D19" s="27"/>
      <c r="E19" s="26"/>
      <c r="F19" s="27"/>
    </row>
    <row r="20" spans="1:6" ht="15" customHeight="1">
      <c r="A20" s="26"/>
      <c r="B20" s="27"/>
      <c r="C20" s="26"/>
      <c r="D20" s="27"/>
      <c r="E20" s="26"/>
      <c r="F20" s="27"/>
    </row>
    <row r="21" spans="1:6" ht="15" customHeight="1">
      <c r="A21" s="26"/>
      <c r="B21" s="27"/>
      <c r="C21" s="26"/>
      <c r="D21" s="27"/>
      <c r="E21" s="26"/>
      <c r="F21" s="27"/>
    </row>
    <row r="22" spans="1:6" ht="15" customHeight="1">
      <c r="A22" s="26"/>
      <c r="B22" s="27"/>
      <c r="C22" s="26"/>
      <c r="D22" s="27"/>
      <c r="E22" s="26"/>
      <c r="F22" s="27"/>
    </row>
    <row r="23" spans="1:6" ht="15" customHeight="1">
      <c r="A23" s="26"/>
      <c r="B23" s="27"/>
      <c r="C23" s="26"/>
      <c r="D23" s="27"/>
      <c r="E23" s="26"/>
      <c r="F23" s="27"/>
    </row>
    <row r="24" spans="1:6" ht="15" customHeight="1">
      <c r="A24" s="26"/>
      <c r="B24" s="27"/>
      <c r="C24" s="26"/>
      <c r="D24" s="27"/>
      <c r="E24" s="26"/>
      <c r="F24" s="27"/>
    </row>
    <row r="25" spans="1:6" ht="15" customHeight="1">
      <c r="A25" s="26"/>
      <c r="B25" s="27"/>
      <c r="C25" s="26"/>
      <c r="D25" s="27"/>
      <c r="E25" s="26"/>
      <c r="F25" s="27"/>
    </row>
    <row r="26" spans="1:6" ht="15" customHeight="1">
      <c r="A26" s="26"/>
      <c r="B26" s="27"/>
      <c r="C26" s="26"/>
      <c r="D26" s="27"/>
      <c r="E26" s="26"/>
      <c r="F26" s="27"/>
    </row>
    <row r="27" spans="1:6" ht="15" customHeight="1">
      <c r="A27" s="26"/>
      <c r="B27" s="27"/>
      <c r="C27" s="26"/>
      <c r="D27" s="27"/>
      <c r="E27" s="26"/>
      <c r="F27" s="27"/>
    </row>
    <row r="28" spans="1:6" ht="15" customHeight="1">
      <c r="A28" s="26"/>
      <c r="B28" s="27"/>
      <c r="C28" s="26"/>
      <c r="D28" s="27"/>
      <c r="E28" s="26"/>
      <c r="F28" s="27"/>
    </row>
    <row r="29" spans="1:6" ht="15" customHeight="1">
      <c r="A29" s="26"/>
      <c r="B29" s="27"/>
      <c r="C29" s="26"/>
      <c r="D29" s="27"/>
      <c r="E29" s="26"/>
      <c r="F29" s="27"/>
    </row>
    <row r="30" spans="1:6" ht="15" customHeight="1">
      <c r="A30" s="26"/>
      <c r="B30" s="27"/>
      <c r="C30" s="26"/>
      <c r="D30" s="27"/>
      <c r="E30" s="26"/>
      <c r="F30" s="27"/>
    </row>
    <row r="31" spans="1:6" ht="15" customHeight="1">
      <c r="A31" s="26"/>
      <c r="B31" s="27"/>
      <c r="C31" s="26"/>
      <c r="D31" s="27"/>
      <c r="E31" s="26"/>
      <c r="F31" s="27"/>
    </row>
    <row r="32" spans="1:6" ht="15" customHeight="1">
      <c r="A32" s="26"/>
      <c r="B32" s="27"/>
      <c r="C32" s="26"/>
      <c r="D32" s="27"/>
      <c r="E32" s="26"/>
      <c r="F32" s="27"/>
    </row>
    <row r="33" spans="1:6" ht="15" customHeight="1">
      <c r="A33" s="26"/>
      <c r="B33" s="27"/>
      <c r="C33" s="26"/>
      <c r="D33" s="27"/>
      <c r="E33" s="26"/>
      <c r="F33" s="27"/>
    </row>
    <row r="34" spans="1:6" ht="15" customHeight="1">
      <c r="A34" s="26"/>
      <c r="B34" s="27"/>
      <c r="C34" s="26"/>
      <c r="D34" s="27"/>
      <c r="E34" s="26"/>
      <c r="F34" s="27"/>
    </row>
    <row r="35" spans="1:6" ht="15" customHeight="1">
      <c r="A35" s="26"/>
      <c r="B35" s="27"/>
      <c r="C35" s="26"/>
      <c r="D35" s="27"/>
      <c r="E35" s="26"/>
      <c r="F35" s="27"/>
    </row>
    <row r="36" spans="1:6" ht="15" customHeight="1">
      <c r="A36" s="26"/>
      <c r="B36" s="27"/>
      <c r="C36" s="26"/>
      <c r="D36" s="27"/>
      <c r="E36" s="26"/>
      <c r="F36" s="27"/>
    </row>
    <row r="37" spans="1:6" ht="15" customHeight="1">
      <c r="A37" s="26"/>
      <c r="B37" s="27"/>
      <c r="C37" s="26"/>
      <c r="D37" s="27"/>
      <c r="E37" s="26"/>
      <c r="F37" s="27"/>
    </row>
    <row r="38" spans="1:6" ht="15" customHeight="1">
      <c r="A38" s="26"/>
      <c r="B38" s="27"/>
      <c r="C38" s="26"/>
      <c r="D38" s="27"/>
      <c r="E38" s="26"/>
      <c r="F38" s="27"/>
    </row>
    <row r="39" spans="1:6" ht="15" customHeight="1">
      <c r="A39" s="26"/>
      <c r="B39" s="27"/>
      <c r="C39" s="26"/>
      <c r="D39" s="27"/>
      <c r="E39" s="26"/>
      <c r="F39" s="27"/>
    </row>
    <row r="40" spans="1:6" ht="15" customHeight="1">
      <c r="A40" s="26"/>
      <c r="B40" s="27"/>
      <c r="C40" s="26"/>
      <c r="D40" s="27"/>
      <c r="E40" s="26"/>
      <c r="F40" s="27"/>
    </row>
    <row r="41" spans="1:6" ht="15" customHeight="1">
      <c r="A41" s="26"/>
      <c r="B41" s="27"/>
      <c r="C41" s="26"/>
      <c r="D41" s="27"/>
      <c r="E41" s="26"/>
      <c r="F41" s="27"/>
    </row>
    <row r="42" spans="1:6" ht="15" customHeight="1">
      <c r="A42" s="26"/>
      <c r="B42" s="27"/>
      <c r="C42" s="26"/>
      <c r="D42" s="27"/>
      <c r="E42" s="26"/>
      <c r="F42" s="27"/>
    </row>
    <row r="43" spans="1:6" ht="15" customHeight="1">
      <c r="A43" s="26"/>
      <c r="B43" s="27"/>
      <c r="C43" s="26"/>
      <c r="D43" s="27"/>
      <c r="E43" s="26"/>
      <c r="F43" s="27"/>
    </row>
    <row r="44" spans="1:6" ht="15" customHeight="1">
      <c r="A44" s="26"/>
      <c r="B44" s="27"/>
      <c r="C44" s="26"/>
      <c r="D44" s="27"/>
      <c r="E44" s="26"/>
      <c r="F44" s="27"/>
    </row>
    <row r="45" spans="1:6" ht="15" customHeight="1">
      <c r="A45" s="26"/>
      <c r="B45" s="27"/>
      <c r="C45" s="26"/>
      <c r="D45" s="27"/>
      <c r="E45" s="26"/>
      <c r="F45" s="27"/>
    </row>
    <row r="46" spans="1:6" ht="15" customHeight="1">
      <c r="A46" s="26"/>
      <c r="B46" s="27"/>
      <c r="C46" s="26"/>
      <c r="D46" s="27"/>
      <c r="E46" s="26"/>
      <c r="F46" s="27"/>
    </row>
    <row r="47" spans="1:6" ht="15" customHeight="1">
      <c r="A47" s="26"/>
      <c r="B47" s="27"/>
      <c r="C47" s="26"/>
      <c r="D47" s="27"/>
      <c r="E47" s="26"/>
      <c r="F47" s="27"/>
    </row>
    <row r="48" spans="1:6" ht="15" customHeight="1">
      <c r="A48" s="26"/>
      <c r="B48" s="27"/>
      <c r="C48" s="26"/>
      <c r="D48" s="27"/>
      <c r="E48" s="26"/>
      <c r="F48" s="27"/>
    </row>
    <row r="49" spans="1:6" ht="15" customHeight="1">
      <c r="A49" s="26"/>
      <c r="B49" s="27"/>
      <c r="C49" s="26"/>
      <c r="D49" s="27"/>
      <c r="E49" s="26"/>
      <c r="F49" s="27"/>
    </row>
    <row r="50" spans="1:6" ht="15" customHeight="1">
      <c r="A50" s="26"/>
      <c r="B50" s="27"/>
      <c r="C50" s="26"/>
      <c r="D50" s="27"/>
      <c r="E50" s="26"/>
      <c r="F50" s="27"/>
    </row>
    <row r="51" spans="1:6" ht="15" customHeight="1">
      <c r="A51" s="26"/>
      <c r="B51" s="27"/>
      <c r="C51" s="26"/>
      <c r="D51" s="27"/>
      <c r="E51" s="26"/>
      <c r="F51" s="27"/>
    </row>
  </sheetData>
  <mergeCells count="3">
    <mergeCell ref="A3:B3"/>
    <mergeCell ref="C3:D3"/>
    <mergeCell ref="E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0"/>
  <sheetViews>
    <sheetView zoomScaleNormal="100" workbookViewId="0">
      <pane ySplit="3" topLeftCell="A4" activePane="bottomLeft" state="frozen"/>
      <selection pane="bottomLeft"/>
    </sheetView>
  </sheetViews>
  <sheetFormatPr defaultColWidth="8.5703125" defaultRowHeight="15"/>
  <cols>
    <col min="1" max="1" width="26" customWidth="1"/>
    <col min="2" max="2" width="3" customWidth="1"/>
    <col min="3" max="3" width="22" customWidth="1"/>
  </cols>
  <sheetData>
    <row r="1" spans="1:3" ht="15.75" customHeight="1">
      <c r="A1" s="14" t="s">
        <v>406</v>
      </c>
    </row>
    <row r="2" spans="1:3" ht="15" customHeight="1">
      <c r="A2" s="15" t="s">
        <v>407</v>
      </c>
    </row>
    <row r="3" spans="1:3" ht="15" customHeight="1">
      <c r="A3" s="16" t="s">
        <v>114</v>
      </c>
      <c r="C3" s="16" t="s">
        <v>115</v>
      </c>
    </row>
    <row r="4" spans="1:3" ht="15" customHeight="1">
      <c r="A4" s="17" t="s">
        <v>408</v>
      </c>
      <c r="C4" s="17"/>
    </row>
    <row r="5" spans="1:3" ht="15" customHeight="1">
      <c r="A5" s="17" t="s">
        <v>409</v>
      </c>
      <c r="C5" s="17"/>
    </row>
    <row r="6" spans="1:3" ht="15" customHeight="1">
      <c r="A6" s="17" t="s">
        <v>410</v>
      </c>
      <c r="C6" s="17"/>
    </row>
    <row r="7" spans="1:3" ht="15" customHeight="1">
      <c r="A7" s="17" t="s">
        <v>411</v>
      </c>
      <c r="C7" s="17"/>
    </row>
    <row r="8" spans="1:3" ht="15" customHeight="1">
      <c r="A8" s="17" t="s">
        <v>412</v>
      </c>
      <c r="C8" s="17"/>
    </row>
    <row r="9" spans="1:3" ht="15" customHeight="1">
      <c r="A9" s="17" t="s">
        <v>413</v>
      </c>
      <c r="C9" s="17"/>
    </row>
    <row r="10" spans="1:3" ht="15" customHeight="1">
      <c r="A10" s="17" t="s">
        <v>186</v>
      </c>
      <c r="C10" s="17"/>
    </row>
    <row r="11" spans="1:3" ht="15" customHeight="1">
      <c r="A11" s="17"/>
      <c r="C11" s="17"/>
    </row>
    <row r="12" spans="1:3" ht="15" customHeight="1">
      <c r="A12" s="17"/>
      <c r="C12" s="17"/>
    </row>
    <row r="13" spans="1:3" ht="15" customHeight="1">
      <c r="A13" s="17"/>
      <c r="C13" s="17"/>
    </row>
    <row r="14" spans="1:3" ht="15" customHeight="1">
      <c r="A14" s="17"/>
      <c r="C14" s="17"/>
    </row>
    <row r="15" spans="1:3" ht="15" customHeight="1">
      <c r="A15" s="17"/>
      <c r="C15" s="17"/>
    </row>
    <row r="16" spans="1:3" ht="15" customHeight="1">
      <c r="A16" s="17"/>
      <c r="C16" s="17"/>
    </row>
    <row r="17" spans="1:3" ht="15" customHeight="1">
      <c r="A17" s="17"/>
      <c r="C17" s="17"/>
    </row>
    <row r="18" spans="1:3" ht="15" customHeight="1">
      <c r="A18" s="17"/>
      <c r="C18" s="17"/>
    </row>
    <row r="19" spans="1:3" ht="15" customHeight="1">
      <c r="A19" s="17"/>
      <c r="C19" s="17"/>
    </row>
    <row r="20" spans="1:3" ht="15" customHeight="1">
      <c r="A20" s="17"/>
      <c r="C20" s="17"/>
    </row>
    <row r="21" spans="1:3" ht="15" customHeight="1">
      <c r="A21" s="17"/>
      <c r="C21" s="17"/>
    </row>
    <row r="22" spans="1:3" ht="15" customHeight="1">
      <c r="A22" s="17"/>
      <c r="C22" s="17"/>
    </row>
    <row r="23" spans="1:3" ht="15" customHeight="1">
      <c r="A23" s="17"/>
      <c r="C23" s="17"/>
    </row>
    <row r="24" spans="1:3" ht="15" customHeight="1">
      <c r="A24" s="17"/>
      <c r="C24" s="17"/>
    </row>
    <row r="25" spans="1:3" ht="15" customHeight="1">
      <c r="A25" s="17"/>
      <c r="C25" s="17"/>
    </row>
    <row r="26" spans="1:3" ht="15" customHeight="1">
      <c r="A26" s="17"/>
      <c r="C26" s="17"/>
    </row>
    <row r="27" spans="1:3" ht="15" customHeight="1">
      <c r="A27" s="17"/>
      <c r="C27" s="17"/>
    </row>
    <row r="28" spans="1:3" ht="15" customHeight="1">
      <c r="A28" s="17"/>
      <c r="C28" s="17"/>
    </row>
    <row r="29" spans="1:3" ht="15" customHeight="1">
      <c r="A29" s="17"/>
      <c r="C29" s="17"/>
    </row>
    <row r="30" spans="1:3" ht="15" customHeight="1">
      <c r="A30" s="17"/>
      <c r="C30" s="17"/>
    </row>
    <row r="31" spans="1:3" ht="15" customHeight="1">
      <c r="A31" s="17"/>
      <c r="C31" s="17"/>
    </row>
    <row r="32" spans="1:3" ht="15" customHeight="1">
      <c r="A32" s="17"/>
      <c r="C32" s="17"/>
    </row>
    <row r="33" spans="1:3" ht="15" customHeight="1">
      <c r="A33" s="17"/>
      <c r="C33" s="17"/>
    </row>
    <row r="34" spans="1:3" ht="15" customHeight="1">
      <c r="A34" s="17"/>
      <c r="C34" s="17"/>
    </row>
    <row r="35" spans="1:3" ht="15" customHeight="1">
      <c r="A35" s="17"/>
      <c r="C35" s="17"/>
    </row>
    <row r="36" spans="1:3" ht="15" customHeight="1">
      <c r="A36" s="17"/>
      <c r="C36" s="17"/>
    </row>
    <row r="37" spans="1:3" ht="15" customHeight="1">
      <c r="A37" s="17"/>
      <c r="C37" s="17"/>
    </row>
    <row r="38" spans="1:3" ht="15" customHeight="1">
      <c r="A38" s="17"/>
      <c r="C38" s="17"/>
    </row>
    <row r="39" spans="1:3" ht="15" customHeight="1">
      <c r="A39" s="17"/>
      <c r="C39" s="17"/>
    </row>
    <row r="40" spans="1:3" ht="15" customHeight="1">
      <c r="A40" s="17"/>
      <c r="C40" s="17"/>
    </row>
    <row r="41" spans="1:3" ht="15" customHeight="1">
      <c r="A41" s="17"/>
      <c r="C41" s="17"/>
    </row>
    <row r="42" spans="1:3" ht="15" customHeight="1">
      <c r="A42" s="17"/>
      <c r="C42" s="17"/>
    </row>
    <row r="43" spans="1:3" ht="15" customHeight="1">
      <c r="A43" s="17"/>
      <c r="C43" s="17"/>
    </row>
    <row r="44" spans="1:3" ht="15" customHeight="1">
      <c r="A44" s="17"/>
      <c r="C44" s="17"/>
    </row>
    <row r="45" spans="1:3" ht="15" customHeight="1">
      <c r="A45" s="17"/>
      <c r="C45" s="17"/>
    </row>
    <row r="46" spans="1:3" ht="15" customHeight="1">
      <c r="A46" s="17"/>
      <c r="C46" s="17"/>
    </row>
    <row r="47" spans="1:3" ht="15" customHeight="1">
      <c r="A47" s="17"/>
      <c r="C47" s="17"/>
    </row>
    <row r="48" spans="1:3" ht="15" customHeight="1">
      <c r="A48" s="17"/>
      <c r="C48" s="17"/>
    </row>
    <row r="49" spans="1:3" ht="15" customHeight="1">
      <c r="A49" s="17"/>
      <c r="C49" s="17"/>
    </row>
    <row r="50" spans="1:3" ht="15" customHeight="1">
      <c r="A50" s="17"/>
      <c r="C50" s="17"/>
    </row>
    <row r="51" spans="1:3" ht="15" customHeight="1">
      <c r="A51" s="17"/>
      <c r="C51" s="17"/>
    </row>
    <row r="52" spans="1:3" ht="15" customHeight="1">
      <c r="A52" s="17"/>
      <c r="C52" s="17"/>
    </row>
    <row r="53" spans="1:3" ht="15" customHeight="1">
      <c r="A53" s="17"/>
      <c r="C53" s="17"/>
    </row>
    <row r="54" spans="1:3" ht="15" customHeight="1">
      <c r="A54" s="17"/>
      <c r="C54" s="17"/>
    </row>
    <row r="55" spans="1:3" ht="15" customHeight="1">
      <c r="A55" s="17"/>
      <c r="C55" s="17"/>
    </row>
    <row r="56" spans="1:3" ht="15" customHeight="1">
      <c r="A56" s="17"/>
      <c r="C56" s="17"/>
    </row>
    <row r="57" spans="1:3" ht="15" customHeight="1">
      <c r="A57" s="17"/>
      <c r="C57" s="17"/>
    </row>
    <row r="58" spans="1:3" ht="15" customHeight="1">
      <c r="A58" s="17"/>
      <c r="C58" s="17"/>
    </row>
    <row r="59" spans="1:3" ht="15" customHeight="1">
      <c r="A59" s="17"/>
      <c r="C59" s="17"/>
    </row>
    <row r="60" spans="1:3" ht="15" customHeight="1">
      <c r="A60" s="17"/>
      <c r="C60" s="17"/>
    </row>
    <row r="61" spans="1:3">
      <c r="A61" s="17"/>
      <c r="C61" s="17"/>
    </row>
    <row r="62" spans="1:3">
      <c r="A62" s="17"/>
      <c r="C62" s="17"/>
    </row>
    <row r="63" spans="1:3">
      <c r="A63" s="17"/>
      <c r="C63" s="17"/>
    </row>
    <row r="64" spans="1:3">
      <c r="A64" s="17"/>
      <c r="C64" s="17"/>
    </row>
    <row r="65" spans="1:3">
      <c r="A65" s="17"/>
      <c r="C65" s="17"/>
    </row>
    <row r="66" spans="1:3">
      <c r="A66" s="17"/>
      <c r="C66" s="17"/>
    </row>
    <row r="67" spans="1:3">
      <c r="A67" s="17"/>
      <c r="C67" s="17"/>
    </row>
    <row r="68" spans="1:3">
      <c r="A68" s="17"/>
      <c r="C68" s="17"/>
    </row>
    <row r="69" spans="1:3">
      <c r="A69" s="17"/>
      <c r="C69" s="17"/>
    </row>
    <row r="70" spans="1:3">
      <c r="A70" s="17"/>
      <c r="C70" s="17"/>
    </row>
    <row r="71" spans="1:3">
      <c r="A71" s="17"/>
      <c r="C71" s="17"/>
    </row>
    <row r="72" spans="1:3">
      <c r="A72" s="17"/>
      <c r="C72" s="17"/>
    </row>
    <row r="73" spans="1:3">
      <c r="A73" s="17"/>
      <c r="C73" s="17"/>
    </row>
    <row r="74" spans="1:3">
      <c r="A74" s="17"/>
      <c r="C74" s="17"/>
    </row>
    <row r="75" spans="1:3">
      <c r="A75" s="17"/>
      <c r="C75" s="17"/>
    </row>
    <row r="76" spans="1:3">
      <c r="A76" s="17"/>
      <c r="C76" s="17"/>
    </row>
    <row r="77" spans="1:3">
      <c r="A77" s="17"/>
      <c r="C77" s="17"/>
    </row>
    <row r="78" spans="1:3">
      <c r="A78" s="17"/>
      <c r="C78" s="17"/>
    </row>
    <row r="79" spans="1:3">
      <c r="A79" s="17"/>
      <c r="C79" s="17"/>
    </row>
    <row r="80" spans="1:3">
      <c r="A80" s="17"/>
      <c r="C80" s="17"/>
    </row>
    <row r="81" spans="1:3">
      <c r="A81" s="17"/>
      <c r="C81" s="17"/>
    </row>
    <row r="82" spans="1:3">
      <c r="A82" s="17"/>
      <c r="C82" s="17"/>
    </row>
    <row r="83" spans="1:3">
      <c r="A83" s="17"/>
      <c r="C83" s="17"/>
    </row>
    <row r="84" spans="1:3">
      <c r="A84" s="17"/>
      <c r="C84" s="17"/>
    </row>
    <row r="85" spans="1:3">
      <c r="A85" s="17"/>
      <c r="C85" s="17"/>
    </row>
    <row r="86" spans="1:3">
      <c r="A86" s="17"/>
      <c r="C86" s="17"/>
    </row>
    <row r="87" spans="1:3">
      <c r="A87" s="17"/>
      <c r="C87" s="17"/>
    </row>
    <row r="88" spans="1:3">
      <c r="A88" s="17"/>
      <c r="C88" s="17"/>
    </row>
    <row r="89" spans="1:3">
      <c r="A89" s="17"/>
      <c r="C89" s="17"/>
    </row>
    <row r="90" spans="1:3">
      <c r="A90" s="17"/>
      <c r="C90" s="17"/>
    </row>
    <row r="91" spans="1:3">
      <c r="A91" s="17"/>
      <c r="C91" s="17"/>
    </row>
    <row r="92" spans="1:3">
      <c r="A92" s="17"/>
      <c r="C92" s="17"/>
    </row>
    <row r="93" spans="1:3">
      <c r="A93" s="17"/>
      <c r="C93" s="17"/>
    </row>
    <row r="94" spans="1:3">
      <c r="A94" s="17"/>
      <c r="C94" s="17"/>
    </row>
    <row r="95" spans="1:3">
      <c r="A95" s="17"/>
      <c r="C95" s="17"/>
    </row>
    <row r="96" spans="1:3">
      <c r="A96" s="17"/>
      <c r="C96" s="17"/>
    </row>
    <row r="97" spans="1:3">
      <c r="A97" s="17"/>
      <c r="C97" s="17"/>
    </row>
    <row r="98" spans="1:3">
      <c r="A98" s="17"/>
      <c r="C98" s="17"/>
    </row>
    <row r="99" spans="1:3">
      <c r="A99" s="17"/>
      <c r="C99" s="17"/>
    </row>
    <row r="100" spans="1:3">
      <c r="A100" s="17"/>
      <c r="C100" s="17"/>
    </row>
    <row r="101" spans="1:3">
      <c r="A101" s="17"/>
      <c r="C101" s="17"/>
    </row>
    <row r="102" spans="1:3">
      <c r="A102" s="17"/>
      <c r="C102" s="17"/>
    </row>
    <row r="103" spans="1:3">
      <c r="A103" s="17"/>
      <c r="C103" s="17"/>
    </row>
    <row r="104" spans="1:3">
      <c r="A104" s="17"/>
      <c r="C104" s="17"/>
    </row>
    <row r="105" spans="1:3">
      <c r="A105" s="17"/>
      <c r="C105" s="17"/>
    </row>
    <row r="106" spans="1:3">
      <c r="A106" s="17"/>
      <c r="C106" s="17"/>
    </row>
    <row r="107" spans="1:3">
      <c r="A107" s="17"/>
      <c r="C107" s="17"/>
    </row>
    <row r="108" spans="1:3">
      <c r="A108" s="17"/>
      <c r="C108" s="17"/>
    </row>
    <row r="109" spans="1:3">
      <c r="A109" s="17"/>
      <c r="C109" s="17"/>
    </row>
    <row r="110" spans="1:3">
      <c r="A110" s="17"/>
      <c r="C110" s="17"/>
    </row>
    <row r="111" spans="1:3">
      <c r="A111" s="17"/>
      <c r="C111" s="17"/>
    </row>
    <row r="112" spans="1:3">
      <c r="A112" s="17"/>
      <c r="C112" s="17"/>
    </row>
    <row r="113" spans="1:3">
      <c r="A113" s="17"/>
      <c r="C113" s="17"/>
    </row>
    <row r="114" spans="1:3">
      <c r="A114" s="17"/>
      <c r="C114" s="17"/>
    </row>
    <row r="115" spans="1:3">
      <c r="A115" s="17"/>
      <c r="C115" s="17"/>
    </row>
    <row r="116" spans="1:3">
      <c r="A116" s="17"/>
      <c r="C116" s="17"/>
    </row>
    <row r="117" spans="1:3">
      <c r="A117" s="17"/>
      <c r="C117" s="17"/>
    </row>
    <row r="118" spans="1:3">
      <c r="A118" s="17"/>
      <c r="C118" s="17"/>
    </row>
    <row r="119" spans="1:3">
      <c r="A119" s="17"/>
      <c r="C119" s="17"/>
    </row>
    <row r="120" spans="1:3">
      <c r="A120" s="17"/>
      <c r="C120" s="17"/>
    </row>
    <row r="121" spans="1:3">
      <c r="A121" s="17"/>
      <c r="C121" s="17"/>
    </row>
    <row r="122" spans="1:3">
      <c r="A122" s="17"/>
      <c r="C122" s="17"/>
    </row>
    <row r="123" spans="1:3">
      <c r="A123" s="17"/>
      <c r="C123" s="17"/>
    </row>
    <row r="124" spans="1:3">
      <c r="A124" s="17"/>
      <c r="C124" s="17"/>
    </row>
    <row r="125" spans="1:3">
      <c r="A125" s="17"/>
      <c r="C125" s="17"/>
    </row>
    <row r="126" spans="1:3">
      <c r="A126" s="17"/>
      <c r="C126" s="17"/>
    </row>
    <row r="127" spans="1:3">
      <c r="A127" s="17"/>
      <c r="C127" s="17"/>
    </row>
    <row r="128" spans="1:3">
      <c r="A128" s="17"/>
      <c r="C128" s="17"/>
    </row>
    <row r="129" spans="1:3">
      <c r="A129" s="17"/>
      <c r="C129" s="17"/>
    </row>
    <row r="130" spans="1:3">
      <c r="A130" s="17"/>
      <c r="C130" s="17"/>
    </row>
    <row r="131" spans="1:3">
      <c r="A131" s="17"/>
      <c r="C131" s="17"/>
    </row>
    <row r="132" spans="1:3">
      <c r="A132" s="17"/>
      <c r="C132" s="17"/>
    </row>
    <row r="133" spans="1:3">
      <c r="A133" s="17"/>
      <c r="C133" s="17"/>
    </row>
    <row r="134" spans="1:3">
      <c r="A134" s="17"/>
      <c r="C134" s="17"/>
    </row>
    <row r="135" spans="1:3">
      <c r="A135" s="17"/>
      <c r="C135" s="17"/>
    </row>
    <row r="136" spans="1:3">
      <c r="A136" s="17"/>
      <c r="C136" s="17"/>
    </row>
    <row r="137" spans="1:3">
      <c r="A137" s="17"/>
      <c r="C137" s="17"/>
    </row>
    <row r="138" spans="1:3">
      <c r="A138" s="17"/>
      <c r="C138" s="17"/>
    </row>
    <row r="139" spans="1:3">
      <c r="A139" s="17"/>
      <c r="C139" s="17"/>
    </row>
    <row r="140" spans="1:3">
      <c r="A140" s="17"/>
      <c r="C140" s="17"/>
    </row>
    <row r="141" spans="1:3">
      <c r="A141" s="17"/>
      <c r="C141" s="17"/>
    </row>
    <row r="142" spans="1:3">
      <c r="A142" s="17"/>
      <c r="C142" s="17"/>
    </row>
    <row r="143" spans="1:3">
      <c r="A143" s="17"/>
      <c r="C143" s="17"/>
    </row>
    <row r="144" spans="1:3">
      <c r="A144" s="17"/>
      <c r="C144" s="17"/>
    </row>
    <row r="145" spans="1:3">
      <c r="A145" s="17"/>
      <c r="C145" s="17"/>
    </row>
    <row r="146" spans="1:3">
      <c r="A146" s="17"/>
      <c r="C146" s="17"/>
    </row>
    <row r="147" spans="1:3">
      <c r="A147" s="17"/>
      <c r="C147" s="17"/>
    </row>
    <row r="148" spans="1:3">
      <c r="A148" s="17"/>
      <c r="C148" s="17"/>
    </row>
    <row r="149" spans="1:3">
      <c r="A149" s="17"/>
      <c r="C149" s="17"/>
    </row>
    <row r="150" spans="1:3">
      <c r="A150" s="17"/>
      <c r="C150" s="17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DTCZXCYQ5C3WF2NX5JAJOYHJ7MEEEXUS:ms-officescript%3A%2F%2Fonedrive_business_sharinglink%2Fu!aHR0cHM6Ly93dXN0ZWNobmlrLW15LnNoYXJlcG9pbnQuY29tLzp1Oi9nL3BlcnNvbmFsL2t1ZWhuaG9sZF93dXMtdGVjaG5pa19jb20vSVFBUTZMZGk2YmZxUUpkZzZmc0lRbDZTQWZuLUVFYjJUQlN0N1JkX21rMjJPb2s"/>
</scriptId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E08F6C17BE664FBF709E019033ED86" ma:contentTypeVersion="7" ma:contentTypeDescription="Ein neues Dokument erstellen." ma:contentTypeScope="" ma:versionID="72d46910eab092ef88d53be798a51937">
  <xsd:schema xmlns:xsd="http://www.w3.org/2001/XMLSchema" xmlns:xs="http://www.w3.org/2001/XMLSchema" xmlns:p="http://schemas.microsoft.com/office/2006/metadata/properties" xmlns:ns2="7d16d6f3-990e-4eb2-b9ce-149e8609d35a" targetNamespace="http://schemas.microsoft.com/office/2006/metadata/properties" ma:root="true" ma:fieldsID="8933d22ff9cfe5cc1bad6384351ca3af" ns2:_="">
    <xsd:import namespace="7d16d6f3-990e-4eb2-b9ce-149e8609d3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6d6f3-990e-4eb2-b9ce-149e8609d3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05EC9D-311A-487E-9D08-ED6C058C15AD}"/>
</file>

<file path=customXml/itemProps2.xml><?xml version="1.0" encoding="utf-8"?>
<ds:datastoreItem xmlns:ds="http://schemas.openxmlformats.org/officeDocument/2006/customXml" ds:itemID="{25F4276F-68CB-4603-9EF9-4A08F60D667D}"/>
</file>

<file path=customXml/itemProps3.xml><?xml version="1.0" encoding="utf-8"?>
<ds:datastoreItem xmlns:ds="http://schemas.openxmlformats.org/officeDocument/2006/customXml" ds:itemID="{3FEA954E-1193-479B-A080-E656465F2E28}"/>
</file>

<file path=customXml/itemProps4.xml><?xml version="1.0" encoding="utf-8"?>
<ds:datastoreItem xmlns:ds="http://schemas.openxmlformats.org/officeDocument/2006/customXml" ds:itemID="{CB07F8B4-8E12-4F29-8BEA-90ED9F735A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Amer Vojnikovic</dc:creator>
  <cp:keywords/>
  <dc:description/>
  <cp:lastModifiedBy>Dennis Kühnhold</cp:lastModifiedBy>
  <cp:revision>0</cp:revision>
  <dcterms:created xsi:type="dcterms:W3CDTF">2026-07-17T05:37:30Z</dcterms:created>
  <dcterms:modified xsi:type="dcterms:W3CDTF">2026-08-11T12:33:32Z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0x010100CFE08F6C17BE664FBF709E019033ED86</vt:lpwstr>
  </property>
  <property fmtid="{D5CDD505-2E9C-101B-9397-08002B2CF9AE}" pid="3" name="MediaServiceImageTags">
    <vt:lpwstr/>
  </property>
</Properties>
</file>